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Pakistan_Income_Tax_Slabs_app\macro_forecasting_II\"/>
    </mc:Choice>
  </mc:AlternateContent>
  <xr:revisionPtr revIDLastSave="0" documentId="13_ncr:1_{BA7018C2-B8F0-4975-8E45-068EED795E10}" xr6:coauthVersionLast="47" xr6:coauthVersionMax="47" xr10:uidLastSave="{00000000-0000-0000-0000-000000000000}"/>
  <bookViews>
    <workbookView xWindow="-98" yWindow="-98" windowWidth="19396" windowHeight="10276" firstSheet="1" activeTab="3" xr2:uid="{A220C3EB-FB50-4D70-8594-0EAD70902D49}"/>
  </bookViews>
  <sheets>
    <sheet name="Dataset Tax &amp; Tax Base" sheetId="1" r:id="rId1"/>
    <sheet name="Tax Buoyancy Estimates" sheetId="2" r:id="rId2"/>
    <sheet name="Econometric model Vs Buoyancy" sheetId="4" r:id="rId3"/>
    <sheet name="Sensitivity Analysis" sheetId="3" r:id="rId4"/>
    <sheet name="Macro Projection MOF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" l="1"/>
  <c r="E26" i="3" s="1"/>
  <c r="D10" i="3"/>
  <c r="D26" i="3" s="1"/>
  <c r="G10" i="3"/>
  <c r="G20" i="3" s="1"/>
  <c r="H10" i="3"/>
  <c r="H20" i="3" s="1"/>
  <c r="I10" i="3"/>
  <c r="I26" i="3" s="1"/>
  <c r="C10" i="3"/>
  <c r="C26" i="3" s="1"/>
  <c r="P30" i="1"/>
  <c r="M30" i="1"/>
  <c r="N30" i="1"/>
  <c r="L30" i="1"/>
  <c r="E30" i="1"/>
  <c r="D30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5" i="1"/>
  <c r="G26" i="3" l="1"/>
  <c r="C20" i="3"/>
  <c r="I20" i="3"/>
  <c r="F10" i="3"/>
  <c r="H26" i="3"/>
  <c r="D20" i="3"/>
  <c r="E20" i="3"/>
  <c r="N32" i="2"/>
  <c r="M32" i="2"/>
  <c r="G32" i="2"/>
  <c r="C32" i="2"/>
  <c r="D32" i="2"/>
  <c r="F32" i="2"/>
  <c r="E32" i="2"/>
  <c r="L32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N7" i="2"/>
  <c r="M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G7" i="2"/>
  <c r="F7" i="2"/>
  <c r="E7" i="2"/>
  <c r="D7" i="2"/>
  <c r="H7" i="2"/>
  <c r="C7" i="2"/>
  <c r="L6" i="1"/>
  <c r="K8" i="2" s="1"/>
  <c r="L7" i="1"/>
  <c r="K9" i="2" s="1"/>
  <c r="L8" i="1"/>
  <c r="K10" i="2" s="1"/>
  <c r="L9" i="1"/>
  <c r="K11" i="2" s="1"/>
  <c r="L10" i="1"/>
  <c r="K12" i="2" s="1"/>
  <c r="L11" i="1"/>
  <c r="K13" i="2" s="1"/>
  <c r="L12" i="1"/>
  <c r="K14" i="2" s="1"/>
  <c r="L13" i="1"/>
  <c r="K15" i="2" s="1"/>
  <c r="L14" i="1"/>
  <c r="K16" i="2" s="1"/>
  <c r="L15" i="1"/>
  <c r="K17" i="2" s="1"/>
  <c r="L16" i="1"/>
  <c r="K18" i="2" s="1"/>
  <c r="L17" i="1"/>
  <c r="K19" i="2" s="1"/>
  <c r="L18" i="1"/>
  <c r="K20" i="2" s="1"/>
  <c r="L19" i="1"/>
  <c r="K21" i="2" s="1"/>
  <c r="L20" i="1"/>
  <c r="K22" i="2" s="1"/>
  <c r="L21" i="1"/>
  <c r="K23" i="2" s="1"/>
  <c r="L22" i="1"/>
  <c r="K24" i="2" s="1"/>
  <c r="L23" i="1"/>
  <c r="K25" i="2" s="1"/>
  <c r="L24" i="1"/>
  <c r="K26" i="2" s="1"/>
  <c r="L25" i="1"/>
  <c r="K27" i="2" s="1"/>
  <c r="L26" i="1"/>
  <c r="K28" i="2" s="1"/>
  <c r="L27" i="1"/>
  <c r="K29" i="2" s="1"/>
  <c r="L28" i="1"/>
  <c r="K30" i="2" s="1"/>
  <c r="L29" i="1"/>
  <c r="K31" i="2" s="1"/>
  <c r="L5" i="1"/>
  <c r="K7" i="2" s="1"/>
  <c r="I29" i="1"/>
  <c r="I28" i="1"/>
  <c r="H30" i="2" s="1"/>
  <c r="I27" i="1"/>
  <c r="I26" i="1"/>
  <c r="H28" i="2" s="1"/>
  <c r="I25" i="1"/>
  <c r="I24" i="1"/>
  <c r="H26" i="2" s="1"/>
  <c r="I23" i="1"/>
  <c r="H25" i="2" s="1"/>
  <c r="I22" i="1"/>
  <c r="H24" i="2" s="1"/>
  <c r="I21" i="1"/>
  <c r="H23" i="2" s="1"/>
  <c r="I20" i="1"/>
  <c r="I19" i="1"/>
  <c r="H21" i="2" s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E35" i="2" l="1"/>
  <c r="G41" i="2" s="1"/>
  <c r="J41" i="2" s="1"/>
  <c r="F35" i="2"/>
  <c r="G44" i="2" s="1"/>
  <c r="J44" i="2" s="1"/>
  <c r="G35" i="2"/>
  <c r="G43" i="2" s="1"/>
  <c r="J43" i="2" s="1"/>
  <c r="D35" i="2"/>
  <c r="G42" i="2" s="1"/>
  <c r="J42" i="2" s="1"/>
  <c r="F26" i="3"/>
  <c r="F20" i="3"/>
  <c r="J27" i="1"/>
  <c r="J20" i="1"/>
  <c r="J26" i="1"/>
  <c r="K32" i="2"/>
  <c r="C35" i="2" s="1"/>
  <c r="J29" i="1"/>
  <c r="J23" i="1"/>
  <c r="J28" i="1"/>
  <c r="H22" i="2"/>
  <c r="J19" i="1"/>
  <c r="J24" i="1"/>
  <c r="H29" i="2"/>
  <c r="H27" i="2"/>
  <c r="J21" i="1"/>
  <c r="J32" i="2"/>
  <c r="J30" i="1"/>
  <c r="H32" i="2"/>
  <c r="H31" i="2"/>
  <c r="J25" i="1"/>
  <c r="J22" i="1"/>
  <c r="H35" i="2" l="1"/>
  <c r="G13" i="3"/>
  <c r="G11" i="3"/>
  <c r="G12" i="3" s="1"/>
  <c r="H13" i="3"/>
  <c r="H11" i="3"/>
  <c r="G40" i="2"/>
  <c r="J40" i="2" s="1"/>
  <c r="D13" i="3"/>
  <c r="D11" i="3"/>
  <c r="D12" i="3" s="1"/>
  <c r="E13" i="3"/>
  <c r="E11" i="3"/>
  <c r="H12" i="3" l="1"/>
  <c r="C13" i="3"/>
  <c r="C11" i="3"/>
  <c r="C12" i="3" s="1"/>
  <c r="H21" i="3"/>
  <c r="H22" i="3" s="1"/>
  <c r="H27" i="3"/>
  <c r="H28" i="3" s="1"/>
  <c r="G21" i="3"/>
  <c r="G22" i="3" s="1"/>
  <c r="G27" i="3"/>
  <c r="G28" i="3" s="1"/>
  <c r="D21" i="3"/>
  <c r="D27" i="3"/>
  <c r="E12" i="3"/>
  <c r="F11" i="3"/>
  <c r="F12" i="3" s="1"/>
  <c r="E27" i="3"/>
  <c r="F13" i="3"/>
  <c r="E21" i="3"/>
  <c r="I11" i="3" l="1"/>
  <c r="I12" i="3" s="1"/>
  <c r="C21" i="3"/>
  <c r="C22" i="3" s="1"/>
  <c r="C27" i="3"/>
  <c r="C28" i="3" s="1"/>
  <c r="F21" i="3"/>
  <c r="F22" i="3" s="1"/>
  <c r="I13" i="3"/>
  <c r="F27" i="3"/>
  <c r="F28" i="3" s="1"/>
  <c r="I21" i="3" l="1"/>
  <c r="I22" i="3" s="1"/>
  <c r="I27" i="3"/>
  <c r="I28" i="3" s="1"/>
</calcChain>
</file>

<file path=xl/sharedStrings.xml><?xml version="1.0" encoding="utf-8"?>
<sst xmlns="http://schemas.openxmlformats.org/spreadsheetml/2006/main" count="221" uniqueCount="132">
  <si>
    <t>Sr.No</t>
  </si>
  <si>
    <t>Years</t>
  </si>
  <si>
    <t>Direct Taxes</t>
  </si>
  <si>
    <t>Sales -imports</t>
  </si>
  <si>
    <t>FEDERAL</t>
  </si>
  <si>
    <t xml:space="preserve">CUSTOMS </t>
  </si>
  <si>
    <t>TOTAL</t>
  </si>
  <si>
    <t>%change in Total tax</t>
  </si>
  <si>
    <t>GDP</t>
  </si>
  <si>
    <t>GDP-non agr</t>
  </si>
  <si>
    <t>Agri GDP</t>
  </si>
  <si>
    <t>LSM</t>
  </si>
  <si>
    <t>Total imports</t>
  </si>
  <si>
    <t>Dutiable imports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</si>
  <si>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</si>
  <si>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</si>
  <si>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</si>
  <si>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</si>
  <si>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</si>
  <si>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</si>
  <si>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</si>
  <si>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</si>
  <si>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</si>
  <si>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</si>
  <si>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</si>
  <si>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</si>
  <si>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</si>
  <si>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</si>
  <si>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 xml:space="preserve"> 2014-15</t>
  </si>
  <si>
    <t xml:space="preserve"> 2015-16</t>
  </si>
  <si>
    <t xml:space="preserve"> 2016-17</t>
  </si>
  <si>
    <t xml:space="preserve"> 2017-18</t>
  </si>
  <si>
    <t xml:space="preserve"> 2018-19</t>
  </si>
  <si>
    <t xml:space="preserve"> 2019-20</t>
  </si>
  <si>
    <t>2020-21</t>
  </si>
  <si>
    <t>2021-22</t>
  </si>
  <si>
    <t>2022-23</t>
  </si>
  <si>
    <t>2023-24</t>
  </si>
  <si>
    <t>2024-25</t>
  </si>
  <si>
    <t>given dutiable imports decreased by 18% in this year according to FBR</t>
  </si>
  <si>
    <t>Tax collection</t>
  </si>
  <si>
    <t>Tax bases</t>
  </si>
  <si>
    <t>DT</t>
  </si>
  <si>
    <t>STM</t>
  </si>
  <si>
    <t>STD</t>
  </si>
  <si>
    <t>FED</t>
  </si>
  <si>
    <t>CD</t>
  </si>
  <si>
    <t>GDP (Nominal)</t>
  </si>
  <si>
    <t>DT (GDPN * DTBuoy)</t>
  </si>
  <si>
    <t xml:space="preserve">LSM(Nominal) </t>
  </si>
  <si>
    <t>ST D</t>
  </si>
  <si>
    <t>ST(D) (LSMN * STDBuoy)</t>
  </si>
  <si>
    <t>Total Imports</t>
  </si>
  <si>
    <t>STM (Imports * STMBuoy)</t>
  </si>
  <si>
    <t>Inflation</t>
  </si>
  <si>
    <t xml:space="preserve">Customs </t>
  </si>
  <si>
    <t>CD (Imports * CDBuoy)</t>
  </si>
  <si>
    <t>GDP (Real)</t>
  </si>
  <si>
    <t>FED (LSMN * FEDBuoy)</t>
  </si>
  <si>
    <t>Addition with Autonomous growth</t>
  </si>
  <si>
    <t>Growth (%)</t>
  </si>
  <si>
    <t>ST(D)</t>
  </si>
  <si>
    <t>ST(M)</t>
  </si>
  <si>
    <t>ST(Total)</t>
  </si>
  <si>
    <t>Total</t>
  </si>
  <si>
    <t>Rs Billion</t>
  </si>
  <si>
    <t>Growth Rate Variation (Robustness check)</t>
  </si>
  <si>
    <t>Tax wise 10% Reduced Autonomous Growth rates</t>
  </si>
  <si>
    <t>10% Reduction in Growth Rate</t>
  </si>
  <si>
    <t>2025-26*</t>
  </si>
  <si>
    <t>Expected Base Figures 2025-26</t>
  </si>
  <si>
    <t>Projections 2026-27 w/o measures</t>
  </si>
  <si>
    <t>FBR Forecast without Measures FY 2026-27</t>
  </si>
  <si>
    <t>Expected Collection FY 2025-26</t>
  </si>
  <si>
    <t>Base for 2025-26</t>
  </si>
  <si>
    <t>2025-26</t>
  </si>
  <si>
    <t>Total Sales Tax</t>
  </si>
  <si>
    <t>Sales - Domestic</t>
  </si>
  <si>
    <t>Data Sources: Federal Board of Revenue (FBR) Forecasting 2024–25; FBR Yearbook 2024–25; Budget Brief 2025–26; Ministry of Finance (MoF) Estimates, Pakistan Bureau of Statistics</t>
  </si>
  <si>
    <t>Note: Total sales figures were available for 2025-26; therefore, the historical sales tax on import-to-total sales ratio (average of the past five years) was applied to estimate import sales and the same was done for domestic good sales tax</t>
  </si>
  <si>
    <t>Agriculture GDP for 2025–26 is estimated by applying the last five-year average agriculture share in GDP (23%) to total GDP. Dutiable imports are estimated by applying the last five-year average dutiable share of total imports (47%) to total imports (goods).</t>
  </si>
  <si>
    <t>10% Increase in Growth Rate</t>
  </si>
  <si>
    <t>Base Growth Assumptions (%)</t>
  </si>
  <si>
    <r>
      <t xml:space="preserve">   </t>
    </r>
    <r>
      <rPr>
        <b/>
        <sz val="11"/>
        <rFont val="Candara"/>
        <family val="2"/>
      </rPr>
      <t>Buoyancy</t>
    </r>
    <r>
      <rPr>
        <sz val="11"/>
        <rFont val="Candara"/>
        <family val="2"/>
      </rPr>
      <t xml:space="preserve"> </t>
    </r>
    <r>
      <rPr>
        <b/>
        <sz val="11"/>
        <rFont val="Candara"/>
        <family val="2"/>
      </rPr>
      <t xml:space="preserve"> Estimates</t>
    </r>
    <r>
      <rPr>
        <sz val="11"/>
        <rFont val="Candara"/>
        <family val="2"/>
      </rPr>
      <t xml:space="preserve"> (%)</t>
    </r>
  </si>
  <si>
    <t>Autonomous Growth (%)</t>
  </si>
  <si>
    <t>Tax Collection &amp; Tax Base</t>
  </si>
  <si>
    <t>Tax Buoyancy Estimates</t>
  </si>
  <si>
    <t>Sensitivity Analysis</t>
  </si>
  <si>
    <t>Indicators</t>
  </si>
  <si>
    <t>2026-27</t>
  </si>
  <si>
    <t>2027-28</t>
  </si>
  <si>
    <t>2028-29</t>
  </si>
  <si>
    <t>Final</t>
  </si>
  <si>
    <t>Baseline</t>
  </si>
  <si>
    <t>Projected</t>
  </si>
  <si>
    <t> Economic Growth </t>
  </si>
  <si>
    <t>GDP at Basic Prices (Const Price) (%)</t>
  </si>
  <si>
    <t>LSM (%)</t>
  </si>
  <si>
    <t>Inflation (Average)</t>
  </si>
  <si>
    <t>GDP at Market Prices (Rs Billion)</t>
  </si>
  <si>
    <t>Growth in Nominal GDP (%)</t>
  </si>
  <si>
    <t>External Sector $ million</t>
  </si>
  <si>
    <t>Current Account $ million</t>
  </si>
  <si>
    <t>CA as % of GDP</t>
  </si>
  <si>
    <t>Exports (goods) $ million</t>
  </si>
  <si>
    <t>Imports (goods) $ million</t>
  </si>
  <si>
    <t>Exports (Services) $ million</t>
  </si>
  <si>
    <t>Imports (Services) $ million</t>
  </si>
  <si>
    <t>Workers Remittances $ million</t>
  </si>
  <si>
    <t>External Sector (Rs Billion)</t>
  </si>
  <si>
    <t>Exports (goods)</t>
  </si>
  <si>
    <t>Imports (goods)</t>
  </si>
  <si>
    <t>Exports (Services)</t>
  </si>
  <si>
    <t>Imports (Services)</t>
  </si>
  <si>
    <t>80% interval</t>
  </si>
  <si>
    <t>95% interval</t>
  </si>
  <si>
    <t>Tax Types</t>
  </si>
  <si>
    <t>Other models Projection</t>
  </si>
  <si>
    <t>Models used</t>
  </si>
  <si>
    <t>Elastic net (ML model)</t>
  </si>
  <si>
    <t>ARDL</t>
  </si>
  <si>
    <t>-</t>
  </si>
  <si>
    <t>[1,414 - 1,767]</t>
  </si>
  <si>
    <t>[1,364 - 1,943]</t>
  </si>
  <si>
    <t>[6,604 -  8050]</t>
  </si>
  <si>
    <t>[6,239 -  8608]</t>
  </si>
  <si>
    <t>[1,162 -  1,640]</t>
  </si>
  <si>
    <t>[1,068 -  1,831]</t>
  </si>
  <si>
    <t>[4,194 -  5,188]</t>
  </si>
  <si>
    <t>[3,295 - 6,055]</t>
  </si>
  <si>
    <t>[13,373, 16,645]</t>
  </si>
  <si>
    <t>[11,967, 18,438]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</si>
</sst>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"/>
    <numFmt numFmtId="167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Candara"/>
      <family val="2"/>
    </font>
    <font>
      <sz val="10"/>
      <name val="Arial"/>
      <family val="2"/>
    </font>
    <font>
      <sz val="10"/>
      <color indexed="8"/>
      <name val="Candara"/>
      <family val="2"/>
    </font>
    <font>
      <sz val="11"/>
      <color theme="1"/>
      <name val="Candara"/>
      <family val="2"/>
    </font>
    <font>
      <sz val="11"/>
      <name val="Candara"/>
      <family val="2"/>
    </font>
    <font>
      <b/>
      <sz val="11"/>
      <color theme="1"/>
      <name val="Candara"/>
      <family val="2"/>
    </font>
    <font>
      <b/>
      <sz val="11"/>
      <name val="Candara"/>
      <family val="2"/>
    </font>
    <font>
      <b/>
      <sz val="14"/>
      <color theme="1"/>
      <name val="Candara"/>
      <family val="2"/>
    </font>
    <font>
      <b/>
      <sz val="10"/>
      <color theme="0"/>
      <name val="Candara"/>
      <family val="2"/>
    </font>
    <font>
      <i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i/>
      <sz val="11"/>
      <color theme="1"/>
      <name val="Candara"/>
      <family val="2"/>
    </font>
    <font>
      <b/>
      <sz val="11"/>
      <color theme="0"/>
      <name val="Candara"/>
      <family val="2"/>
    </font>
    <font>
      <b/>
      <sz val="14"/>
      <color rgb="FF0070C0"/>
      <name val="Candara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theme="0"/>
      <name val="Candara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A8D08D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/>
      <diagonal/>
    </border>
    <border>
      <left style="medium">
        <color rgb="FF70AD47"/>
      </left>
      <right/>
      <top/>
      <bottom style="medium">
        <color rgb="FFA8D08D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A8D08D"/>
      </left>
      <right style="medium">
        <color rgb="FFA8D08D"/>
      </right>
      <top/>
      <bottom style="medium">
        <color rgb="FFA8D08D"/>
      </bottom>
      <diagonal/>
    </border>
    <border>
      <left/>
      <right style="medium">
        <color rgb="FFA8D08D"/>
      </right>
      <top/>
      <bottom style="medium">
        <color rgb="FFA8D08D"/>
      </bottom>
      <diagonal/>
    </border>
    <border>
      <left style="medium">
        <color rgb="FFA8D08D"/>
      </left>
      <right/>
      <top style="medium">
        <color rgb="FF70AD47"/>
      </top>
      <bottom style="medium">
        <color rgb="FFA8D08D"/>
      </bottom>
      <diagonal/>
    </border>
    <border>
      <left/>
      <right/>
      <top style="medium">
        <color rgb="FF70AD47"/>
      </top>
      <bottom style="medium">
        <color rgb="FFA8D08D"/>
      </bottom>
      <diagonal/>
    </border>
    <border>
      <left/>
      <right style="medium">
        <color rgb="FFA8D08D"/>
      </right>
      <top style="medium">
        <color rgb="FF70AD47"/>
      </top>
      <bottom style="medium">
        <color rgb="FFA8D08D"/>
      </bottom>
      <diagonal/>
    </border>
    <border>
      <left style="medium">
        <color rgb="FFA8D08D"/>
      </left>
      <right/>
      <top style="medium">
        <color rgb="FFA8D08D"/>
      </top>
      <bottom style="medium">
        <color rgb="FFA8D08D"/>
      </bottom>
      <diagonal/>
    </border>
    <border>
      <left/>
      <right/>
      <top style="medium">
        <color rgb="FFA8D08D"/>
      </top>
      <bottom style="medium">
        <color rgb="FFA8D08D"/>
      </bottom>
      <diagonal/>
    </border>
    <border>
      <left/>
      <right style="medium">
        <color rgb="FFA8D08D"/>
      </right>
      <top style="medium">
        <color rgb="FFA8D08D"/>
      </top>
      <bottom style="medium">
        <color rgb="FFA8D08D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98">
    <xf numFmtId="0" fontId="0" fillId="0" borderId="0" xfId="0"/>
    <xf numFmtId="0" fontId="1" fillId="3" borderId="0" xfId="0" applyFont="1" applyFill="1"/>
    <xf numFmtId="166" fontId="5" fillId="7" borderId="0" xfId="0" applyNumberFormat="1" applyFont="1" applyFill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7" fontId="0" fillId="0" borderId="0" xfId="2" applyNumberFormat="1" applyFont="1" applyFill="1"/>
    <xf numFmtId="3" fontId="5" fillId="0" borderId="1" xfId="0" applyNumberFormat="1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8" fillId="2" borderId="1" xfId="3" applyFont="1" applyFill="1" applyBorder="1" applyAlignment="1">
      <alignment horizontal="center"/>
    </xf>
    <xf numFmtId="0" fontId="8" fillId="7" borderId="0" xfId="3" applyFont="1" applyFill="1" applyAlignment="1">
      <alignment horizontal="center"/>
    </xf>
    <xf numFmtId="0" fontId="8" fillId="4" borderId="1" xfId="3" applyFont="1" applyFill="1" applyBorder="1" applyAlignment="1">
      <alignment horizontal="center"/>
    </xf>
    <xf numFmtId="0" fontId="8" fillId="4" borderId="1" xfId="3" applyFont="1" applyFill="1" applyBorder="1" applyAlignment="1">
      <alignment horizontal="center" wrapText="1"/>
    </xf>
    <xf numFmtId="165" fontId="6" fillId="0" borderId="1" xfId="1" applyNumberFormat="1" applyFont="1" applyFill="1" applyBorder="1" applyAlignment="1">
      <alignment horizontal="center"/>
    </xf>
    <xf numFmtId="165" fontId="6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3" fontId="0" fillId="0" borderId="0" xfId="0" applyNumberFormat="1"/>
    <xf numFmtId="9" fontId="0" fillId="0" borderId="0" xfId="2" applyFont="1"/>
    <xf numFmtId="167" fontId="0" fillId="0" borderId="0" xfId="2" applyNumberFormat="1" applyFont="1"/>
    <xf numFmtId="2" fontId="5" fillId="2" borderId="1" xfId="0" applyNumberFormat="1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43" fontId="0" fillId="0" borderId="0" xfId="0" applyNumberFormat="1"/>
    <xf numFmtId="0" fontId="9" fillId="0" borderId="0" xfId="0" applyFont="1"/>
    <xf numFmtId="165" fontId="10" fillId="8" borderId="1" xfId="1" applyNumberFormat="1" applyFont="1" applyFill="1" applyBorder="1" applyAlignment="1">
      <alignment horizontal="center" vertical="center" wrapText="1"/>
    </xf>
    <xf numFmtId="0" fontId="11" fillId="0" borderId="0" xfId="0" applyFont="1"/>
    <xf numFmtId="165" fontId="2" fillId="7" borderId="1" xfId="1" applyNumberFormat="1" applyFont="1" applyFill="1" applyBorder="1" applyAlignment="1">
      <alignment horizontal="center"/>
    </xf>
    <xf numFmtId="165" fontId="5" fillId="7" borderId="1" xfId="1" applyNumberFormat="1" applyFont="1" applyFill="1" applyBorder="1"/>
    <xf numFmtId="165" fontId="5" fillId="7" borderId="1" xfId="1" applyNumberFormat="1" applyFont="1" applyFill="1" applyBorder="1" applyAlignment="1">
      <alignment horizontal="center"/>
    </xf>
    <xf numFmtId="165" fontId="2" fillId="7" borderId="1" xfId="1" applyNumberFormat="1" applyFont="1" applyFill="1" applyBorder="1" applyAlignment="1">
      <alignment horizontal="center" vertical="center"/>
    </xf>
    <xf numFmtId="165" fontId="4" fillId="7" borderId="1" xfId="1" applyNumberFormat="1" applyFont="1" applyFill="1" applyBorder="1" applyAlignment="1">
      <alignment horizontal="center" vertical="center"/>
    </xf>
    <xf numFmtId="165" fontId="2" fillId="7" borderId="1" xfId="1" applyNumberFormat="1" applyFont="1" applyFill="1" applyBorder="1" applyAlignment="1">
      <alignment horizontal="center" vertical="center" wrapText="1"/>
    </xf>
    <xf numFmtId="165" fontId="5" fillId="7" borderId="1" xfId="0" applyNumberFormat="1" applyFont="1" applyFill="1" applyBorder="1"/>
    <xf numFmtId="165" fontId="0" fillId="0" borderId="0" xfId="1" applyNumberFormat="1" applyFont="1"/>
    <xf numFmtId="3" fontId="12" fillId="0" borderId="0" xfId="0" applyNumberFormat="1" applyFont="1"/>
    <xf numFmtId="0" fontId="13" fillId="0" borderId="0" xfId="0" applyFont="1"/>
    <xf numFmtId="3" fontId="5" fillId="0" borderId="0" xfId="0" applyNumberFormat="1" applyFont="1"/>
    <xf numFmtId="167" fontId="5" fillId="0" borderId="0" xfId="2" applyNumberFormat="1" applyFont="1"/>
    <xf numFmtId="0" fontId="14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 wrapText="1"/>
    </xf>
    <xf numFmtId="0" fontId="15" fillId="0" borderId="0" xfId="0" applyFont="1"/>
    <xf numFmtId="0" fontId="18" fillId="9" borderId="5" xfId="0" applyFont="1" applyFill="1" applyBorder="1" applyAlignment="1">
      <alignment vertical="center" wrapText="1"/>
    </xf>
    <xf numFmtId="0" fontId="18" fillId="9" borderId="5" xfId="0" applyFont="1" applyFill="1" applyBorder="1" applyAlignment="1">
      <alignment horizontal="center" vertical="center" wrapText="1"/>
    </xf>
    <xf numFmtId="0" fontId="18" fillId="9" borderId="2" xfId="0" applyFont="1" applyFill="1" applyBorder="1" applyAlignment="1">
      <alignment horizontal="center" vertical="center" wrapText="1"/>
    </xf>
    <xf numFmtId="0" fontId="17" fillId="10" borderId="6" xfId="0" applyFont="1" applyFill="1" applyBorder="1" applyAlignment="1">
      <alignment vertical="center" wrapText="1"/>
    </xf>
    <xf numFmtId="0" fontId="17" fillId="10" borderId="7" xfId="0" applyFont="1" applyFill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17" fillId="0" borderId="7" xfId="0" applyFont="1" applyBorder="1" applyAlignment="1">
      <alignment horizontal="center" vertical="center" wrapText="1"/>
    </xf>
    <xf numFmtId="0" fontId="12" fillId="10" borderId="6" xfId="0" applyFont="1" applyFill="1" applyBorder="1" applyAlignment="1">
      <alignment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vertical="center" wrapText="1"/>
    </xf>
    <xf numFmtId="0" fontId="12" fillId="0" borderId="7" xfId="0" applyFont="1" applyBorder="1" applyAlignment="1">
      <alignment horizontal="center" vertical="center" wrapText="1"/>
    </xf>
    <xf numFmtId="3" fontId="12" fillId="10" borderId="7" xfId="0" applyNumberFormat="1" applyFont="1" applyFill="1" applyBorder="1" applyAlignment="1">
      <alignment horizontal="center" vertical="center" wrapText="1"/>
    </xf>
    <xf numFmtId="3" fontId="19" fillId="0" borderId="7" xfId="0" applyNumberFormat="1" applyFont="1" applyBorder="1" applyAlignment="1">
      <alignment horizontal="center" vertical="center" wrapText="1"/>
    </xf>
    <xf numFmtId="3" fontId="12" fillId="0" borderId="7" xfId="0" applyNumberFormat="1" applyFont="1" applyBorder="1" applyAlignment="1">
      <alignment horizontal="center" vertical="center" wrapText="1"/>
    </xf>
    <xf numFmtId="0" fontId="17" fillId="10" borderId="7" xfId="0" applyFont="1" applyFill="1" applyBorder="1" applyAlignment="1">
      <alignment horizontal="center" vertical="center" wrapText="1"/>
    </xf>
    <xf numFmtId="3" fontId="19" fillId="10" borderId="7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5" fontId="2" fillId="7" borderId="0" xfId="1" applyNumberFormat="1" applyFont="1" applyFill="1" applyBorder="1" applyAlignment="1">
      <alignment horizontal="center"/>
    </xf>
    <xf numFmtId="165" fontId="5" fillId="7" borderId="0" xfId="0" applyNumberFormat="1" applyFont="1" applyFill="1"/>
    <xf numFmtId="0" fontId="5" fillId="0" borderId="0" xfId="0" applyFont="1" applyAlignment="1">
      <alignment horizont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49" fontId="5" fillId="7" borderId="1" xfId="0" applyNumberFormat="1" applyFont="1" applyFill="1" applyBorder="1" applyAlignment="1">
      <alignment horizontal="center"/>
    </xf>
    <xf numFmtId="3" fontId="12" fillId="4" borderId="7" xfId="0" applyNumberFormat="1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8" fillId="2" borderId="1" xfId="3" applyFont="1" applyFill="1" applyBorder="1" applyAlignment="1">
      <alignment horizontal="center"/>
    </xf>
    <xf numFmtId="0" fontId="8" fillId="4" borderId="1" xfId="3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7" fillId="11" borderId="11" xfId="0" applyFont="1" applyFill="1" applyBorder="1" applyAlignment="1">
      <alignment vertical="center" wrapText="1"/>
    </xf>
    <xf numFmtId="0" fontId="17" fillId="11" borderId="12" xfId="0" applyFont="1" applyFill="1" applyBorder="1" applyAlignment="1">
      <alignment vertical="center" wrapText="1"/>
    </xf>
    <xf numFmtId="0" fontId="17" fillId="11" borderId="13" xfId="0" applyFont="1" applyFill="1" applyBorder="1" applyAlignment="1">
      <alignment vertical="center" wrapText="1"/>
    </xf>
    <xf numFmtId="0" fontId="18" fillId="9" borderId="3" xfId="0" applyFont="1" applyFill="1" applyBorder="1" applyAlignment="1">
      <alignment vertical="center" wrapText="1"/>
    </xf>
    <xf numFmtId="0" fontId="18" fillId="9" borderId="4" xfId="0" applyFont="1" applyFill="1" applyBorder="1" applyAlignment="1">
      <alignment vertical="center" wrapText="1"/>
    </xf>
    <xf numFmtId="0" fontId="17" fillId="10" borderId="8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10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</cellXfs>
  <cellStyles count="6">
    <cellStyle name="Comma" xfId="1" builtinId="3"/>
    <cellStyle name="Comma 2" xfId="4" xr:uid="{A69F3439-901A-4781-A81D-5344B2E494A6}"/>
    <cellStyle name="Normal" xfId="0" builtinId="0"/>
    <cellStyle name="Normal 2" xfId="3" xr:uid="{D6F73A62-7756-4D81-AA1A-C1C2B3510442}"/>
    <cellStyle name="Percent" xfId="2" builtinId="5"/>
    <cellStyle name="Percent 2" xfId="5" xr:uid="{49865AF7-AF67-4132-BFAF-946A2DA508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2ACD3-2447-4F0F-B761-1D31558718B3}">
  <sheetPr>
    <tabColor rgb="FF0070C0"/>
  </sheetPr>
  <dimension ref="A1:R38"/>
  <sheetViews>
    <sheetView topLeftCell="A23" workbookViewId="0">
      <selection activeCell="Y1" sqref="Y1"/>
    </sheetView>
  </sheetViews>
  <sheetFormatPr defaultRowHeight="14.25" x14ac:dyDescent="0.45"/>
  <cols>
    <col min="1" max="1" width="9.1328125" bestFit="1" customWidth="1"/>
    <col min="2" max="2" width="17.19921875" bestFit="1" customWidth="1"/>
    <col min="3" max="3" width="13.59765625" bestFit="1" customWidth="1"/>
    <col min="4" max="4" width="11.73046875" bestFit="1" customWidth="1"/>
    <col min="5" max="5" width="11.33203125" bestFit="1" customWidth="1"/>
    <col min="6" max="6" width="11.33203125" customWidth="1"/>
    <col min="7" max="7" width="10.86328125" bestFit="1" customWidth="1"/>
    <col min="8" max="8" width="11.796875" bestFit="1" customWidth="1"/>
    <col min="9" max="9" width="12.265625" bestFit="1" customWidth="1"/>
    <col min="10" max="10" width="10.86328125" customWidth="1"/>
    <col min="11" max="11" width="12.33203125" bestFit="1" customWidth="1"/>
    <col min="12" max="12" width="11.9296875" customWidth="1"/>
    <col min="13" max="14" width="11" bestFit="1" customWidth="1"/>
    <col min="15" max="15" width="13.59765625" bestFit="1" customWidth="1"/>
    <col min="16" max="16" width="10.19921875" bestFit="1" customWidth="1"/>
  </cols>
  <sheetData>
    <row r="1" spans="1:18" ht="18" x14ac:dyDescent="0.55000000000000004">
      <c r="A1" s="49" t="s">
        <v>85</v>
      </c>
      <c r="O1" s="42"/>
    </row>
    <row r="2" spans="1:18" ht="18" x14ac:dyDescent="0.55000000000000004">
      <c r="D2" s="32"/>
      <c r="O2" s="42"/>
    </row>
    <row r="4" spans="1:18" s="1" customFormat="1" ht="26.25" x14ac:dyDescent="0.45">
      <c r="A4" s="33" t="s">
        <v>0</v>
      </c>
      <c r="B4" s="33" t="s">
        <v>1</v>
      </c>
      <c r="C4" s="33" t="s">
        <v>2</v>
      </c>
      <c r="D4" s="33" t="s">
        <v>3</v>
      </c>
      <c r="E4" s="33" t="s">
        <v>77</v>
      </c>
      <c r="F4" s="33" t="s">
        <v>76</v>
      </c>
      <c r="G4" s="33" t="s">
        <v>4</v>
      </c>
      <c r="H4" s="33" t="s">
        <v>5</v>
      </c>
      <c r="I4" s="33" t="s">
        <v>6</v>
      </c>
      <c r="J4" s="33" t="s">
        <v>7</v>
      </c>
      <c r="K4" s="33" t="s">
        <v>8</v>
      </c>
      <c r="L4" s="33" t="s">
        <v>9</v>
      </c>
      <c r="M4" s="33" t="s">
        <v>10</v>
      </c>
      <c r="N4" s="33" t="s">
        <v>11</v>
      </c>
      <c r="O4" s="33" t="s">
        <v>12</v>
      </c>
      <c r="P4" s="33" t="s">
        <v>13</v>
      </c>
    </row>
    <row r="5" spans="1:18" x14ac:dyDescent="0.45">
      <c r="A5" s="35">
        <v>1</v>
      </c>
      <c r="B5" s="35" t="s">
        <v>14</v>
      </c>
      <c r="C5" s="35">
        <v>124585</v>
      </c>
      <c r="D5" s="35">
        <v>88554</v>
      </c>
      <c r="E5" s="35">
        <v>65011</v>
      </c>
      <c r="F5" s="35">
        <f>SUM(D5:E5)</f>
        <v>153565</v>
      </c>
      <c r="G5" s="35">
        <v>49080</v>
      </c>
      <c r="H5" s="35">
        <v>65047</v>
      </c>
      <c r="I5" s="35">
        <v>392277</v>
      </c>
      <c r="J5" s="35"/>
      <c r="K5" s="36">
        <v>5655818</v>
      </c>
      <c r="L5" s="37">
        <f>K5-M5</f>
        <v>4290223</v>
      </c>
      <c r="M5" s="36">
        <v>1365595</v>
      </c>
      <c r="N5" s="37">
        <v>453039</v>
      </c>
      <c r="O5" s="38">
        <v>627000</v>
      </c>
      <c r="P5" s="37">
        <v>386597</v>
      </c>
      <c r="R5" s="27"/>
    </row>
    <row r="6" spans="1:18" x14ac:dyDescent="0.45">
      <c r="A6" s="35">
        <v>2</v>
      </c>
      <c r="B6" s="35" t="s">
        <v>15</v>
      </c>
      <c r="C6" s="35">
        <v>142505</v>
      </c>
      <c r="D6" s="35">
        <v>92779</v>
      </c>
      <c r="E6" s="35">
        <v>73782</v>
      </c>
      <c r="F6" s="35">
        <f t="shared" ref="F6:F29" si="0">SUM(D6:E6)</f>
        <v>166561</v>
      </c>
      <c r="G6" s="35">
        <v>47186</v>
      </c>
      <c r="H6" s="35">
        <v>47818</v>
      </c>
      <c r="I6" s="35">
        <v>404070</v>
      </c>
      <c r="J6" s="35">
        <f>((I6-I5)/I5)*100</f>
        <v>3.0062940218264136</v>
      </c>
      <c r="K6" s="36">
        <v>6030117</v>
      </c>
      <c r="L6" s="37">
        <f t="shared" ref="L6:L29" si="1">K6-M6</f>
        <v>4661122</v>
      </c>
      <c r="M6" s="36">
        <v>1368995</v>
      </c>
      <c r="N6" s="37">
        <v>475458</v>
      </c>
      <c r="O6" s="38">
        <v>634630</v>
      </c>
      <c r="P6" s="37">
        <v>404641</v>
      </c>
      <c r="R6" s="27"/>
    </row>
    <row r="7" spans="1:18" x14ac:dyDescent="0.45">
      <c r="A7" s="35">
        <v>3</v>
      </c>
      <c r="B7" s="35" t="s">
        <v>16</v>
      </c>
      <c r="C7" s="35">
        <v>151898</v>
      </c>
      <c r="D7" s="35">
        <v>105605</v>
      </c>
      <c r="E7" s="35">
        <v>89534</v>
      </c>
      <c r="F7" s="35">
        <f t="shared" si="0"/>
        <v>195139</v>
      </c>
      <c r="G7" s="35">
        <v>44754</v>
      </c>
      <c r="H7" s="35">
        <v>68836</v>
      </c>
      <c r="I7" s="35">
        <v>460627</v>
      </c>
      <c r="J7" s="35">
        <f t="shared" ref="J7:J28" si="2">((I7-I6)/I6)*100</f>
        <v>13.996832232039003</v>
      </c>
      <c r="K7" s="36">
        <v>6581623</v>
      </c>
      <c r="L7" s="37">
        <f t="shared" si="1"/>
        <v>5123666</v>
      </c>
      <c r="M7" s="36">
        <v>1457957</v>
      </c>
      <c r="N7" s="37">
        <v>530308</v>
      </c>
      <c r="O7" s="38">
        <v>714372</v>
      </c>
      <c r="P7" s="37">
        <v>436316</v>
      </c>
      <c r="R7" s="27"/>
    </row>
    <row r="8" spans="1:18" x14ac:dyDescent="0.45">
      <c r="A8" s="35">
        <v>4</v>
      </c>
      <c r="B8" s="35" t="s">
        <v>17</v>
      </c>
      <c r="C8" s="35">
        <v>165079</v>
      </c>
      <c r="D8" s="35">
        <v>125875</v>
      </c>
      <c r="E8" s="35">
        <v>93292</v>
      </c>
      <c r="F8" s="35">
        <f t="shared" si="0"/>
        <v>219167</v>
      </c>
      <c r="G8" s="35">
        <v>45552</v>
      </c>
      <c r="H8" s="35">
        <v>91045</v>
      </c>
      <c r="I8" s="35">
        <v>520843</v>
      </c>
      <c r="J8" s="35">
        <f t="shared" si="2"/>
        <v>13.072616238301272</v>
      </c>
      <c r="K8" s="36">
        <v>7611678</v>
      </c>
      <c r="L8" s="37">
        <f t="shared" si="1"/>
        <v>5936965</v>
      </c>
      <c r="M8" s="36">
        <v>1674713</v>
      </c>
      <c r="N8" s="37">
        <v>677586</v>
      </c>
      <c r="O8" s="38">
        <v>897825</v>
      </c>
      <c r="P8" s="37">
        <v>629159</v>
      </c>
      <c r="R8" s="27"/>
    </row>
    <row r="9" spans="1:18" x14ac:dyDescent="0.45">
      <c r="A9" s="35">
        <v>5</v>
      </c>
      <c r="B9" s="35" t="s">
        <v>18</v>
      </c>
      <c r="C9" s="35">
        <v>183372</v>
      </c>
      <c r="D9" s="35">
        <v>144845</v>
      </c>
      <c r="E9" s="35">
        <v>93692</v>
      </c>
      <c r="F9" s="35">
        <f t="shared" si="0"/>
        <v>238537</v>
      </c>
      <c r="G9" s="35">
        <v>53104</v>
      </c>
      <c r="H9" s="35">
        <v>115374</v>
      </c>
      <c r="I9" s="35">
        <v>590387</v>
      </c>
      <c r="J9" s="35">
        <f t="shared" si="2"/>
        <v>13.3522001831646</v>
      </c>
      <c r="K9" s="36">
        <v>8619232</v>
      </c>
      <c r="L9" s="37">
        <f t="shared" si="1"/>
        <v>6759675</v>
      </c>
      <c r="M9" s="36">
        <v>1859557</v>
      </c>
      <c r="N9" s="37">
        <v>871600</v>
      </c>
      <c r="O9" s="38">
        <v>1223079</v>
      </c>
      <c r="P9" s="37">
        <v>869815</v>
      </c>
      <c r="R9" s="27"/>
    </row>
    <row r="10" spans="1:18" x14ac:dyDescent="0.45">
      <c r="A10" s="35">
        <v>6</v>
      </c>
      <c r="B10" s="35" t="s">
        <v>19</v>
      </c>
      <c r="C10" s="35">
        <v>224988</v>
      </c>
      <c r="D10" s="35">
        <v>171445</v>
      </c>
      <c r="E10" s="35">
        <v>123353</v>
      </c>
      <c r="F10" s="35">
        <f t="shared" si="0"/>
        <v>294798</v>
      </c>
      <c r="G10" s="35">
        <v>55272</v>
      </c>
      <c r="H10" s="35">
        <v>138384</v>
      </c>
      <c r="I10" s="35">
        <v>713442</v>
      </c>
      <c r="J10" s="35">
        <f t="shared" si="2"/>
        <v>20.843107995264123</v>
      </c>
      <c r="K10" s="36">
        <v>9689071</v>
      </c>
      <c r="L10" s="37">
        <f t="shared" si="1"/>
        <v>7710723</v>
      </c>
      <c r="M10" s="36">
        <v>1978348</v>
      </c>
      <c r="N10" s="37">
        <v>1059972</v>
      </c>
      <c r="O10" s="38">
        <v>1711158</v>
      </c>
      <c r="P10" s="37">
        <v>1052837</v>
      </c>
      <c r="R10" s="27"/>
    </row>
    <row r="11" spans="1:18" x14ac:dyDescent="0.45">
      <c r="A11" s="35">
        <v>7</v>
      </c>
      <c r="B11" s="35" t="s">
        <v>20</v>
      </c>
      <c r="C11" s="35">
        <v>333737</v>
      </c>
      <c r="D11" s="35">
        <v>175909</v>
      </c>
      <c r="E11" s="35">
        <v>133487</v>
      </c>
      <c r="F11" s="35">
        <f t="shared" si="0"/>
        <v>309396</v>
      </c>
      <c r="G11" s="35">
        <v>71804</v>
      </c>
      <c r="H11" s="35">
        <v>132299</v>
      </c>
      <c r="I11" s="35">
        <v>847236</v>
      </c>
      <c r="J11" s="35">
        <f t="shared" si="2"/>
        <v>18.753311411439192</v>
      </c>
      <c r="K11" s="36">
        <v>11165234</v>
      </c>
      <c r="L11" s="37">
        <f t="shared" si="1"/>
        <v>8939115</v>
      </c>
      <c r="M11" s="36">
        <v>2226119</v>
      </c>
      <c r="N11" s="37">
        <v>1208353</v>
      </c>
      <c r="O11" s="38">
        <v>1851806</v>
      </c>
      <c r="P11" s="37">
        <v>1010603</v>
      </c>
      <c r="R11" s="27"/>
    </row>
    <row r="12" spans="1:18" x14ac:dyDescent="0.45">
      <c r="A12" s="35">
        <v>8</v>
      </c>
      <c r="B12" s="35" t="s">
        <v>21</v>
      </c>
      <c r="C12" s="35">
        <v>387861</v>
      </c>
      <c r="D12" s="35">
        <v>196034</v>
      </c>
      <c r="E12" s="35">
        <v>181396</v>
      </c>
      <c r="F12" s="35">
        <f t="shared" si="0"/>
        <v>377430</v>
      </c>
      <c r="G12" s="35">
        <v>92137</v>
      </c>
      <c r="H12" s="35">
        <v>150663</v>
      </c>
      <c r="I12" s="35">
        <v>1008091</v>
      </c>
      <c r="J12" s="35">
        <f t="shared" si="2"/>
        <v>18.985855180846894</v>
      </c>
      <c r="K12" s="36">
        <v>12647137</v>
      </c>
      <c r="L12" s="37">
        <f t="shared" si="1"/>
        <v>10073272</v>
      </c>
      <c r="M12" s="36">
        <v>2573865</v>
      </c>
      <c r="N12" s="37">
        <v>1465583</v>
      </c>
      <c r="O12" s="38">
        <v>2512072</v>
      </c>
      <c r="P12" s="37">
        <v>1283696</v>
      </c>
      <c r="R12" s="27"/>
    </row>
    <row r="13" spans="1:18" x14ac:dyDescent="0.45">
      <c r="A13" s="35">
        <v>9</v>
      </c>
      <c r="B13" s="35" t="s">
        <v>22</v>
      </c>
      <c r="C13" s="35">
        <v>443548.3</v>
      </c>
      <c r="D13" s="35">
        <v>203715</v>
      </c>
      <c r="E13" s="35">
        <v>248029</v>
      </c>
      <c r="F13" s="35">
        <f t="shared" si="0"/>
        <v>451744</v>
      </c>
      <c r="G13" s="35">
        <v>117455</v>
      </c>
      <c r="H13" s="35">
        <v>148403</v>
      </c>
      <c r="I13" s="35">
        <v>1161150.3</v>
      </c>
      <c r="J13" s="35">
        <f t="shared" si="2"/>
        <v>15.183083670025827</v>
      </c>
      <c r="K13" s="36">
        <v>14705698</v>
      </c>
      <c r="L13" s="37">
        <f t="shared" si="1"/>
        <v>11501779</v>
      </c>
      <c r="M13" s="36">
        <v>3203919</v>
      </c>
      <c r="N13" s="37">
        <v>1576860</v>
      </c>
      <c r="O13" s="38">
        <v>2723570</v>
      </c>
      <c r="P13" s="37">
        <v>1337629</v>
      </c>
      <c r="R13" s="27"/>
    </row>
    <row r="14" spans="1:18" x14ac:dyDescent="0.45">
      <c r="A14" s="35">
        <v>10</v>
      </c>
      <c r="B14" s="35" t="s">
        <v>23</v>
      </c>
      <c r="C14" s="35">
        <v>525977.1</v>
      </c>
      <c r="D14" s="35">
        <v>247246</v>
      </c>
      <c r="E14" s="35">
        <v>269102</v>
      </c>
      <c r="F14" s="35">
        <f t="shared" si="0"/>
        <v>516348</v>
      </c>
      <c r="G14" s="35">
        <v>124784.1</v>
      </c>
      <c r="H14" s="35">
        <v>160272.70000000001</v>
      </c>
      <c r="I14" s="35">
        <v>1327381.8999999999</v>
      </c>
      <c r="J14" s="35">
        <f t="shared" si="2"/>
        <v>14.316113943216468</v>
      </c>
      <c r="K14" s="36">
        <v>16507053</v>
      </c>
      <c r="L14" s="37">
        <f t="shared" si="1"/>
        <v>12761799</v>
      </c>
      <c r="M14" s="36">
        <v>3745254</v>
      </c>
      <c r="N14" s="37">
        <v>1810245</v>
      </c>
      <c r="O14" s="38">
        <v>2910975</v>
      </c>
      <c r="P14" s="37">
        <v>1333709</v>
      </c>
      <c r="R14" s="27"/>
    </row>
    <row r="15" spans="1:18" x14ac:dyDescent="0.45">
      <c r="A15" s="35">
        <v>11</v>
      </c>
      <c r="B15" s="35" t="s">
        <v>24</v>
      </c>
      <c r="C15" s="35">
        <v>602451</v>
      </c>
      <c r="D15" s="35">
        <v>308648</v>
      </c>
      <c r="E15" s="35">
        <v>324709</v>
      </c>
      <c r="F15" s="35">
        <f t="shared" si="0"/>
        <v>633357</v>
      </c>
      <c r="G15" s="35">
        <v>137353</v>
      </c>
      <c r="H15" s="35">
        <v>184853</v>
      </c>
      <c r="I15" s="35">
        <v>1558014</v>
      </c>
      <c r="J15" s="35">
        <f t="shared" si="2"/>
        <v>17.374961945767087</v>
      </c>
      <c r="K15" s="36">
        <v>19731030</v>
      </c>
      <c r="L15" s="37">
        <f t="shared" si="1"/>
        <v>15031169</v>
      </c>
      <c r="M15" s="36">
        <v>4699861</v>
      </c>
      <c r="N15" s="37">
        <v>2206129</v>
      </c>
      <c r="O15" s="38">
        <v>3455286</v>
      </c>
      <c r="P15" s="37">
        <v>1521329</v>
      </c>
      <c r="R15" s="27"/>
    </row>
    <row r="16" spans="1:18" x14ac:dyDescent="0.45">
      <c r="A16" s="35">
        <v>12</v>
      </c>
      <c r="B16" s="35" t="s">
        <v>25</v>
      </c>
      <c r="C16" s="35">
        <v>738424</v>
      </c>
      <c r="D16" s="35">
        <v>430399</v>
      </c>
      <c r="E16" s="35">
        <v>374500</v>
      </c>
      <c r="F16" s="35">
        <f t="shared" si="0"/>
        <v>804899</v>
      </c>
      <c r="G16" s="35">
        <v>122464</v>
      </c>
      <c r="H16" s="35">
        <v>216906</v>
      </c>
      <c r="I16" s="35">
        <v>1882693</v>
      </c>
      <c r="J16" s="35">
        <f t="shared" si="2"/>
        <v>20.839286424897338</v>
      </c>
      <c r="K16" s="36">
        <v>22344639</v>
      </c>
      <c r="L16" s="37">
        <f t="shared" si="1"/>
        <v>17119078</v>
      </c>
      <c r="M16" s="36">
        <v>5225561</v>
      </c>
      <c r="N16" s="37">
        <v>2556200</v>
      </c>
      <c r="O16" s="38">
        <v>4009093</v>
      </c>
      <c r="P16" s="37">
        <v>1600186</v>
      </c>
      <c r="R16" s="27"/>
    </row>
    <row r="17" spans="1:18" x14ac:dyDescent="0.45">
      <c r="A17" s="35">
        <v>13</v>
      </c>
      <c r="B17" s="35" t="s">
        <v>26</v>
      </c>
      <c r="C17" s="35">
        <v>743409</v>
      </c>
      <c r="D17" s="35">
        <v>429831</v>
      </c>
      <c r="E17" s="35">
        <v>412697</v>
      </c>
      <c r="F17" s="35">
        <f t="shared" si="0"/>
        <v>842528</v>
      </c>
      <c r="G17" s="35">
        <v>120964</v>
      </c>
      <c r="H17" s="35">
        <v>239459</v>
      </c>
      <c r="I17" s="35">
        <v>1946360</v>
      </c>
      <c r="J17" s="35">
        <f t="shared" si="2"/>
        <v>3.3816984500393854</v>
      </c>
      <c r="K17" s="36">
        <v>25042169</v>
      </c>
      <c r="L17" s="37">
        <f t="shared" si="1"/>
        <v>19105273</v>
      </c>
      <c r="M17" s="36">
        <v>5936896</v>
      </c>
      <c r="N17" s="37">
        <v>2757695</v>
      </c>
      <c r="O17" s="38">
        <v>4349880</v>
      </c>
      <c r="P17" s="37">
        <v>1652823</v>
      </c>
      <c r="R17" s="27"/>
    </row>
    <row r="18" spans="1:18" x14ac:dyDescent="0.45">
      <c r="A18" s="35">
        <v>14</v>
      </c>
      <c r="B18" s="35" t="s">
        <v>27</v>
      </c>
      <c r="C18" s="35">
        <v>877255</v>
      </c>
      <c r="D18" s="35">
        <v>495330</v>
      </c>
      <c r="E18" s="35">
        <v>501052</v>
      </c>
      <c r="F18" s="35">
        <f t="shared" si="0"/>
        <v>996382</v>
      </c>
      <c r="G18" s="35">
        <v>138084</v>
      </c>
      <c r="H18" s="35">
        <v>242811</v>
      </c>
      <c r="I18" s="35">
        <v>2254532</v>
      </c>
      <c r="J18" s="35">
        <f t="shared" si="2"/>
        <v>15.833247703405332</v>
      </c>
      <c r="K18" s="36">
        <v>27952815</v>
      </c>
      <c r="L18" s="37">
        <f t="shared" si="1"/>
        <v>21385935</v>
      </c>
      <c r="M18" s="36">
        <v>6566880</v>
      </c>
      <c r="N18" s="37">
        <v>3075033</v>
      </c>
      <c r="O18" s="38">
        <v>4634974</v>
      </c>
      <c r="P18" s="37">
        <v>1778444</v>
      </c>
      <c r="R18" s="27"/>
    </row>
    <row r="19" spans="1:18" x14ac:dyDescent="0.45">
      <c r="A19" s="35">
        <v>15</v>
      </c>
      <c r="B19" s="35" t="s">
        <v>28</v>
      </c>
      <c r="C19" s="39">
        <v>1033720</v>
      </c>
      <c r="D19" s="39">
        <v>553028</v>
      </c>
      <c r="E19" s="39">
        <v>534762</v>
      </c>
      <c r="F19" s="35">
        <f t="shared" si="0"/>
        <v>1087790</v>
      </c>
      <c r="G19" s="35">
        <v>162248</v>
      </c>
      <c r="H19" s="39">
        <v>306220</v>
      </c>
      <c r="I19" s="35">
        <f t="shared" ref="I19:I29" si="3">+H19+G19+E19+D19+C19</f>
        <v>2589978</v>
      </c>
      <c r="J19" s="35">
        <f t="shared" si="2"/>
        <v>14.878742018299141</v>
      </c>
      <c r="K19" s="36">
        <v>30425880</v>
      </c>
      <c r="L19" s="37">
        <f t="shared" si="1"/>
        <v>23347956</v>
      </c>
      <c r="M19" s="36">
        <v>7077924</v>
      </c>
      <c r="N19" s="37">
        <v>2990836</v>
      </c>
      <c r="O19" s="38">
        <v>4719399</v>
      </c>
      <c r="P19" s="37">
        <v>2703371</v>
      </c>
      <c r="R19" s="27"/>
    </row>
    <row r="20" spans="1:18" x14ac:dyDescent="0.45">
      <c r="A20" s="35">
        <v>16</v>
      </c>
      <c r="B20" s="35" t="s">
        <v>29</v>
      </c>
      <c r="C20" s="39">
        <v>1217474</v>
      </c>
      <c r="D20" s="39">
        <v>678313</v>
      </c>
      <c r="E20" s="35">
        <v>624058</v>
      </c>
      <c r="F20" s="35">
        <f t="shared" si="0"/>
        <v>1302371</v>
      </c>
      <c r="G20" s="39">
        <v>188055</v>
      </c>
      <c r="H20" s="39">
        <v>404572</v>
      </c>
      <c r="I20" s="35">
        <f t="shared" si="3"/>
        <v>3112472</v>
      </c>
      <c r="J20" s="35">
        <f t="shared" si="2"/>
        <v>20.173684872998919</v>
      </c>
      <c r="K20" s="36">
        <v>32725049</v>
      </c>
      <c r="L20" s="37">
        <f t="shared" si="1"/>
        <v>25418092</v>
      </c>
      <c r="M20" s="36">
        <v>7306957</v>
      </c>
      <c r="N20" s="37">
        <v>2841709</v>
      </c>
      <c r="O20" s="38">
        <v>4721978</v>
      </c>
      <c r="P20" s="37">
        <v>3467318</v>
      </c>
      <c r="R20" s="27"/>
    </row>
    <row r="21" spans="1:18" x14ac:dyDescent="0.45">
      <c r="A21" s="35">
        <v>17</v>
      </c>
      <c r="B21" s="35" t="s">
        <v>30</v>
      </c>
      <c r="C21" s="39">
        <v>1344226</v>
      </c>
      <c r="D21" s="39">
        <v>702565</v>
      </c>
      <c r="E21" s="39">
        <v>626400</v>
      </c>
      <c r="F21" s="35">
        <f t="shared" si="0"/>
        <v>1328965</v>
      </c>
      <c r="G21" s="39">
        <v>197911</v>
      </c>
      <c r="H21" s="39">
        <v>496772</v>
      </c>
      <c r="I21" s="35">
        <f t="shared" si="3"/>
        <v>3367874</v>
      </c>
      <c r="J21" s="35">
        <f t="shared" si="2"/>
        <v>8.2057605658781831</v>
      </c>
      <c r="K21" s="36">
        <v>35552819</v>
      </c>
      <c r="L21" s="37">
        <f t="shared" si="1"/>
        <v>27744281</v>
      </c>
      <c r="M21" s="36">
        <v>7808538</v>
      </c>
      <c r="N21" s="37">
        <v>3083146</v>
      </c>
      <c r="O21" s="38">
        <v>5583637</v>
      </c>
      <c r="P21" s="37">
        <v>4067138</v>
      </c>
      <c r="R21" s="27"/>
    </row>
    <row r="22" spans="1:18" x14ac:dyDescent="0.45">
      <c r="A22" s="35">
        <v>18</v>
      </c>
      <c r="B22" s="35" t="s">
        <v>31</v>
      </c>
      <c r="C22" s="39">
        <v>1536583</v>
      </c>
      <c r="D22" s="39">
        <v>824219</v>
      </c>
      <c r="E22" s="35">
        <v>661087</v>
      </c>
      <c r="F22" s="35">
        <f t="shared" si="0"/>
        <v>1485306</v>
      </c>
      <c r="G22" s="39">
        <v>213493</v>
      </c>
      <c r="H22" s="39">
        <v>608373</v>
      </c>
      <c r="I22" s="35">
        <f t="shared" si="3"/>
        <v>3843755</v>
      </c>
      <c r="J22" s="35">
        <f t="shared" si="2"/>
        <v>14.13001198975971</v>
      </c>
      <c r="K22" s="36">
        <v>39189810</v>
      </c>
      <c r="L22" s="37">
        <f t="shared" si="1"/>
        <v>30704732</v>
      </c>
      <c r="M22" s="36">
        <v>8485078</v>
      </c>
      <c r="N22" s="37">
        <v>3499175</v>
      </c>
      <c r="O22" s="38">
        <v>6749678</v>
      </c>
      <c r="P22" s="37">
        <v>4662323</v>
      </c>
      <c r="R22" s="27"/>
    </row>
    <row r="23" spans="1:18" x14ac:dyDescent="0.45">
      <c r="A23" s="35">
        <v>19</v>
      </c>
      <c r="B23" s="35" t="s">
        <v>32</v>
      </c>
      <c r="C23" s="39">
        <v>1445508</v>
      </c>
      <c r="D23" s="39">
        <v>810357</v>
      </c>
      <c r="E23" s="35">
        <v>648856</v>
      </c>
      <c r="F23" s="35">
        <f t="shared" si="0"/>
        <v>1459213</v>
      </c>
      <c r="G23" s="39">
        <v>238186</v>
      </c>
      <c r="H23" s="39">
        <v>685575</v>
      </c>
      <c r="I23" s="35">
        <f t="shared" si="3"/>
        <v>3828482</v>
      </c>
      <c r="J23" s="35">
        <f t="shared" si="2"/>
        <v>-0.39734582459079726</v>
      </c>
      <c r="K23" s="36">
        <v>43798401</v>
      </c>
      <c r="L23" s="37">
        <f t="shared" si="1"/>
        <v>34741824</v>
      </c>
      <c r="M23" s="36">
        <v>9056577</v>
      </c>
      <c r="N23" s="37">
        <v>4266145</v>
      </c>
      <c r="O23" s="38">
        <v>7499468</v>
      </c>
      <c r="P23" s="37">
        <v>5054709</v>
      </c>
      <c r="R23" s="27"/>
    </row>
    <row r="24" spans="1:18" x14ac:dyDescent="0.45">
      <c r="A24" s="35">
        <v>20</v>
      </c>
      <c r="B24" s="35" t="s">
        <v>33</v>
      </c>
      <c r="C24" s="39">
        <v>1523064</v>
      </c>
      <c r="D24" s="39">
        <v>876333</v>
      </c>
      <c r="E24" s="35">
        <v>720471</v>
      </c>
      <c r="F24" s="35">
        <f t="shared" si="0"/>
        <v>1596804</v>
      </c>
      <c r="G24" s="39">
        <v>250470</v>
      </c>
      <c r="H24" s="39">
        <v>626378</v>
      </c>
      <c r="I24" s="35">
        <f t="shared" si="3"/>
        <v>3996716</v>
      </c>
      <c r="J24" s="35">
        <f>((I24-I23)/I23)*100</f>
        <v>4.3942742841679809</v>
      </c>
      <c r="K24" s="36">
        <v>47540409</v>
      </c>
      <c r="L24" s="37">
        <f t="shared" si="1"/>
        <v>37150865</v>
      </c>
      <c r="M24" s="36">
        <v>10389544</v>
      </c>
      <c r="N24" s="37">
        <v>4026236</v>
      </c>
      <c r="O24" s="38">
        <v>7057323</v>
      </c>
      <c r="P24" s="37">
        <v>4455140</v>
      </c>
      <c r="R24" s="27"/>
    </row>
    <row r="25" spans="1:18" x14ac:dyDescent="0.45">
      <c r="A25" s="35">
        <v>21</v>
      </c>
      <c r="B25" s="40" t="s">
        <v>34</v>
      </c>
      <c r="C25" s="38">
        <v>1731253</v>
      </c>
      <c r="D25" s="39">
        <v>1115912</v>
      </c>
      <c r="E25" s="35">
        <v>872393</v>
      </c>
      <c r="F25" s="35">
        <f t="shared" si="0"/>
        <v>1988305</v>
      </c>
      <c r="G25" s="35">
        <v>277046</v>
      </c>
      <c r="H25" s="35">
        <v>748390</v>
      </c>
      <c r="I25" s="35">
        <f t="shared" si="3"/>
        <v>4744994</v>
      </c>
      <c r="J25" s="35">
        <f t="shared" si="2"/>
        <v>18.722321025561985</v>
      </c>
      <c r="K25" s="36">
        <v>55836225</v>
      </c>
      <c r="L25" s="37">
        <f t="shared" si="1"/>
        <v>43182336</v>
      </c>
      <c r="M25" s="36">
        <v>12653889</v>
      </c>
      <c r="N25" s="37">
        <v>4933633</v>
      </c>
      <c r="O25" s="38">
        <v>8984377</v>
      </c>
      <c r="P25" s="37">
        <v>4268621</v>
      </c>
      <c r="R25" s="27"/>
    </row>
    <row r="26" spans="1:18" x14ac:dyDescent="0.45">
      <c r="A26" s="35">
        <v>22</v>
      </c>
      <c r="B26" s="40" t="s">
        <v>35</v>
      </c>
      <c r="C26" s="38">
        <v>2284916</v>
      </c>
      <c r="D26" s="39">
        <v>1740692</v>
      </c>
      <c r="E26" s="35">
        <v>791536</v>
      </c>
      <c r="F26" s="35">
        <f t="shared" si="0"/>
        <v>2532228</v>
      </c>
      <c r="G26" s="35">
        <v>320658</v>
      </c>
      <c r="H26" s="35">
        <v>1010694</v>
      </c>
      <c r="I26" s="35">
        <f t="shared" si="3"/>
        <v>6148496</v>
      </c>
      <c r="J26" s="35">
        <f t="shared" si="2"/>
        <v>29.578583239515162</v>
      </c>
      <c r="K26" s="36">
        <v>66657868</v>
      </c>
      <c r="L26" s="37">
        <f t="shared" si="1"/>
        <v>51775256</v>
      </c>
      <c r="M26" s="36">
        <v>14882612</v>
      </c>
      <c r="N26" s="37">
        <v>7040683</v>
      </c>
      <c r="O26" s="38">
        <v>14273394</v>
      </c>
      <c r="P26" s="37">
        <v>6421248</v>
      </c>
      <c r="R26" s="27"/>
    </row>
    <row r="27" spans="1:18" x14ac:dyDescent="0.45">
      <c r="A27" s="35">
        <v>23</v>
      </c>
      <c r="B27" s="40" t="s">
        <v>36</v>
      </c>
      <c r="C27" s="38">
        <v>3270820</v>
      </c>
      <c r="D27" s="39">
        <v>1593590</v>
      </c>
      <c r="E27" s="35">
        <v>997844</v>
      </c>
      <c r="F27" s="35">
        <f t="shared" si="0"/>
        <v>2591434</v>
      </c>
      <c r="G27" s="35">
        <v>369885</v>
      </c>
      <c r="H27" s="35">
        <v>931727</v>
      </c>
      <c r="I27" s="35">
        <f t="shared" si="3"/>
        <v>7163866</v>
      </c>
      <c r="J27" s="35">
        <f t="shared" si="2"/>
        <v>16.51411987582004</v>
      </c>
      <c r="K27" s="36">
        <v>83650830</v>
      </c>
      <c r="L27" s="37">
        <f t="shared" si="1"/>
        <v>64054198</v>
      </c>
      <c r="M27" s="36">
        <v>19596632</v>
      </c>
      <c r="N27" s="37">
        <v>8536018</v>
      </c>
      <c r="O27" s="38">
        <v>13472988</v>
      </c>
      <c r="P27" s="37">
        <v>5265423</v>
      </c>
      <c r="Q27" t="s">
        <v>39</v>
      </c>
      <c r="R27" s="27"/>
    </row>
    <row r="28" spans="1:18" x14ac:dyDescent="0.45">
      <c r="A28" s="35">
        <v>24</v>
      </c>
      <c r="B28" s="40" t="s">
        <v>37</v>
      </c>
      <c r="C28" s="35">
        <v>4530731</v>
      </c>
      <c r="D28" s="39">
        <v>1863947</v>
      </c>
      <c r="E28" s="35">
        <v>1222885</v>
      </c>
      <c r="F28" s="35">
        <f t="shared" si="0"/>
        <v>3086832</v>
      </c>
      <c r="G28" s="35">
        <v>577451</v>
      </c>
      <c r="H28" s="35">
        <v>1104066</v>
      </c>
      <c r="I28" s="35">
        <f t="shared" si="3"/>
        <v>9299080</v>
      </c>
      <c r="J28" s="35">
        <f t="shared" si="2"/>
        <v>29.805331367169625</v>
      </c>
      <c r="K28" s="36">
        <v>105379298</v>
      </c>
      <c r="L28" s="37">
        <f t="shared" si="1"/>
        <v>80403649</v>
      </c>
      <c r="M28" s="36">
        <v>24975649</v>
      </c>
      <c r="N28" s="37">
        <v>10138638</v>
      </c>
      <c r="O28" s="38">
        <v>15482120</v>
      </c>
      <c r="P28" s="37">
        <v>8296831</v>
      </c>
      <c r="R28" s="27"/>
    </row>
    <row r="29" spans="1:18" x14ac:dyDescent="0.45">
      <c r="A29" s="35">
        <v>25</v>
      </c>
      <c r="B29" s="40" t="s">
        <v>38</v>
      </c>
      <c r="C29" s="35">
        <v>5791667</v>
      </c>
      <c r="D29" s="39">
        <v>2281854</v>
      </c>
      <c r="E29" s="35">
        <v>1619518</v>
      </c>
      <c r="F29" s="35">
        <f t="shared" si="0"/>
        <v>3901372</v>
      </c>
      <c r="G29" s="35">
        <v>766641</v>
      </c>
      <c r="H29" s="35">
        <v>1284608</v>
      </c>
      <c r="I29" s="35">
        <f t="shared" si="3"/>
        <v>11744288</v>
      </c>
      <c r="J29" s="35">
        <f>((I29-I28)/I28)*100</f>
        <v>26.295160381457087</v>
      </c>
      <c r="K29" s="36">
        <v>113934970</v>
      </c>
      <c r="L29" s="37">
        <f t="shared" si="1"/>
        <v>87739134</v>
      </c>
      <c r="M29" s="36">
        <v>26195836</v>
      </c>
      <c r="N29" s="37">
        <v>10445059</v>
      </c>
      <c r="O29" s="38">
        <v>16306753</v>
      </c>
      <c r="P29" s="37">
        <v>8159961</v>
      </c>
      <c r="R29" s="27"/>
    </row>
    <row r="30" spans="1:18" x14ac:dyDescent="0.45">
      <c r="A30" s="35">
        <v>26</v>
      </c>
      <c r="B30" s="40" t="s">
        <v>75</v>
      </c>
      <c r="C30" s="35">
        <v>6902000</v>
      </c>
      <c r="D30" s="41">
        <f>0.61*F30</f>
        <v>2899330</v>
      </c>
      <c r="E30" s="35">
        <f>F30*0.39</f>
        <v>1853670</v>
      </c>
      <c r="F30" s="35">
        <v>4753000</v>
      </c>
      <c r="G30" s="41">
        <v>888000</v>
      </c>
      <c r="H30" s="41">
        <v>1588000</v>
      </c>
      <c r="I30" s="35">
        <v>14131000</v>
      </c>
      <c r="J30" s="35">
        <f>((I30-I29)/I29)*100</f>
        <v>20.322321795923258</v>
      </c>
      <c r="K30" s="36">
        <v>126195000</v>
      </c>
      <c r="L30" s="36">
        <f>K30-M30</f>
        <v>97170150</v>
      </c>
      <c r="M30" s="36">
        <f>K30*0.23</f>
        <v>29024850</v>
      </c>
      <c r="N30" s="36">
        <f>(N29*(4.9/100)+N29)</f>
        <v>10956866.891000001</v>
      </c>
      <c r="O30" s="36">
        <v>18497000</v>
      </c>
      <c r="P30" s="36">
        <f>0.47*O30</f>
        <v>8693590</v>
      </c>
      <c r="R30" s="27"/>
    </row>
    <row r="31" spans="1:18" x14ac:dyDescent="0.45">
      <c r="O31" s="5"/>
    </row>
    <row r="32" spans="1:18" x14ac:dyDescent="0.45">
      <c r="C32" s="26"/>
      <c r="M32" s="28"/>
      <c r="P32" s="27"/>
    </row>
    <row r="33" spans="2:17" x14ac:dyDescent="0.45">
      <c r="B33" s="27"/>
      <c r="C33" s="34" t="s">
        <v>78</v>
      </c>
      <c r="P33" s="43"/>
      <c r="Q33" s="43"/>
    </row>
    <row r="34" spans="2:17" x14ac:dyDescent="0.45">
      <c r="B34" s="27"/>
      <c r="C34" s="34" t="s">
        <v>79</v>
      </c>
      <c r="L34" s="28"/>
      <c r="N34" s="26"/>
      <c r="O34" s="26"/>
      <c r="P34" s="43"/>
      <c r="Q34" s="43"/>
    </row>
    <row r="35" spans="2:17" x14ac:dyDescent="0.45">
      <c r="C35" s="44" t="s">
        <v>80</v>
      </c>
    </row>
    <row r="36" spans="2:17" x14ac:dyDescent="0.45">
      <c r="N36" s="27"/>
      <c r="P36" s="26"/>
      <c r="Q36" s="26"/>
    </row>
    <row r="37" spans="2:17" x14ac:dyDescent="0.45">
      <c r="O37" s="31"/>
    </row>
    <row r="38" spans="2:17" x14ac:dyDescent="0.45">
      <c r="O38" s="31"/>
      <c r="Q38" s="27"/>
    </row>
  </sheetData>
  <pageMargins left="0.7" right="0.7" top="0.75" bottom="0.75" header="0.3" footer="0.3"/>
  <ignoredErrors>
    <ignoredError sqref="F5:F3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9866A-8FB3-47E0-B1A7-898F7370DAE0}">
  <sheetPr>
    <tabColor rgb="FF0070C0"/>
  </sheetPr>
  <dimension ref="A1:N48"/>
  <sheetViews>
    <sheetView topLeftCell="A32" workbookViewId="0">
      <selection activeCell="H31" sqref="H31"/>
    </sheetView>
  </sheetViews>
  <sheetFormatPr defaultRowHeight="14.25" x14ac:dyDescent="0.45"/>
  <cols>
    <col min="1" max="2" width="9.06640625" style="10"/>
    <col min="3" max="3" width="16.06640625" style="10" customWidth="1"/>
    <col min="4" max="4" width="9.06640625" style="10"/>
    <col min="5" max="5" width="8.9296875" style="10" customWidth="1"/>
    <col min="6" max="6" width="6.33203125" style="10" customWidth="1"/>
    <col min="7" max="7" width="9.06640625" style="10"/>
    <col min="8" max="8" width="12.86328125" style="10" customWidth="1"/>
    <col min="9" max="9" width="2.46484375" style="10" customWidth="1"/>
    <col min="10" max="10" width="12.73046875" style="10" bestFit="1" customWidth="1"/>
    <col min="11" max="11" width="9.06640625" style="10"/>
    <col min="12" max="12" width="22.86328125" style="10" customWidth="1"/>
    <col min="13" max="13" width="12" style="10" bestFit="1" customWidth="1"/>
    <col min="14" max="14" width="12.46484375" style="10" bestFit="1" customWidth="1"/>
    <col min="15" max="15" width="12.1328125" style="10" bestFit="1" customWidth="1"/>
    <col min="16" max="16" width="10.33203125" style="10" bestFit="1" customWidth="1"/>
    <col min="17" max="17" width="12.06640625" style="10" bestFit="1" customWidth="1"/>
    <col min="18" max="18" width="11.19921875" style="10" bestFit="1" customWidth="1"/>
    <col min="19" max="19" width="11.06640625" style="10" bestFit="1" customWidth="1"/>
    <col min="20" max="16384" width="9.06640625" style="10"/>
  </cols>
  <sheetData>
    <row r="1" spans="1:14" ht="18" x14ac:dyDescent="0.55000000000000004">
      <c r="A1" s="49" t="s">
        <v>86</v>
      </c>
    </row>
    <row r="5" spans="1:14" x14ac:dyDescent="0.45">
      <c r="B5" s="83" t="s">
        <v>1</v>
      </c>
      <c r="C5" s="81" t="s">
        <v>40</v>
      </c>
      <c r="D5" s="81"/>
      <c r="E5" s="81"/>
      <c r="F5" s="81"/>
      <c r="G5" s="81"/>
      <c r="H5" s="81"/>
      <c r="I5" s="13"/>
      <c r="J5" s="82" t="s">
        <v>41</v>
      </c>
      <c r="K5" s="82"/>
      <c r="L5" s="82"/>
      <c r="M5" s="82"/>
      <c r="N5" s="82"/>
    </row>
    <row r="6" spans="1:14" ht="28.5" x14ac:dyDescent="0.45">
      <c r="B6" s="83"/>
      <c r="C6" s="12" t="s">
        <v>42</v>
      </c>
      <c r="D6" s="12" t="s">
        <v>43</v>
      </c>
      <c r="E6" s="12" t="s">
        <v>44</v>
      </c>
      <c r="F6" s="12" t="s">
        <v>45</v>
      </c>
      <c r="G6" s="12" t="s">
        <v>46</v>
      </c>
      <c r="H6" s="12" t="s">
        <v>6</v>
      </c>
      <c r="I6" s="13"/>
      <c r="J6" s="14" t="s">
        <v>8</v>
      </c>
      <c r="K6" s="15" t="s">
        <v>9</v>
      </c>
      <c r="L6" s="14" t="s">
        <v>11</v>
      </c>
      <c r="M6" s="15" t="s">
        <v>12</v>
      </c>
      <c r="N6" s="15" t="s">
        <v>13</v>
      </c>
    </row>
    <row r="7" spans="1:14" x14ac:dyDescent="0.45">
      <c r="B7" s="16" t="s">
        <v>14</v>
      </c>
      <c r="C7" s="29">
        <f>LOG('Dataset Tax &amp; Tax Base'!C5)</f>
        <v>5.0954657565335859</v>
      </c>
      <c r="D7" s="29">
        <f>LOG('Dataset Tax &amp; Tax Base'!D5)</f>
        <v>4.9472081831284953</v>
      </c>
      <c r="E7" s="29">
        <f>LOG('Dataset Tax &amp; Tax Base'!E5)</f>
        <v>4.8129868464139109</v>
      </c>
      <c r="F7" s="29">
        <f>LOG('Dataset Tax &amp; Tax Base'!G5)</f>
        <v>4.690904554054967</v>
      </c>
      <c r="G7" s="29">
        <f>LOG('Dataset Tax &amp; Tax Base'!H5)</f>
        <v>4.8132272714819235</v>
      </c>
      <c r="H7" s="29">
        <f>LOG('Dataset Tax &amp; Tax Base'!I5)</f>
        <v>5.5935928453053982</v>
      </c>
      <c r="I7" s="2"/>
      <c r="J7" s="30">
        <f>LOG('Dataset Tax &amp; Tax Base'!K5)</f>
        <v>6.7524954257415581</v>
      </c>
      <c r="K7" s="30">
        <f>LOG('Dataset Tax &amp; Tax Base'!L5)</f>
        <v>6.6324798668123268</v>
      </c>
      <c r="L7" s="30">
        <f>LOG('Dataset Tax &amp; Tax Base'!N5)</f>
        <v>5.6561355899945962</v>
      </c>
      <c r="M7" s="30">
        <f>LOG('Dataset Tax &amp; Tax Base'!O5)</f>
        <v>5.7972675408307168</v>
      </c>
      <c r="N7" s="30">
        <f>LOG('Dataset Tax &amp; Tax Base'!P5)</f>
        <v>5.5872584795722524</v>
      </c>
    </row>
    <row r="8" spans="1:14" x14ac:dyDescent="0.45">
      <c r="B8" s="16" t="s">
        <v>15</v>
      </c>
      <c r="C8" s="29">
        <f>LOG('Dataset Tax &amp; Tax Base'!C6)</f>
        <v>5.153830102480069</v>
      </c>
      <c r="D8" s="29">
        <f>LOG('Dataset Tax &amp; Tax Base'!D6)</f>
        <v>4.9674496872512641</v>
      </c>
      <c r="E8" s="29">
        <f>LOG('Dataset Tax &amp; Tax Base'!E6)</f>
        <v>4.8679504234198081</v>
      </c>
      <c r="F8" s="29">
        <f>LOG('Dataset Tax &amp; Tax Base'!G6)</f>
        <v>4.6738131633663311</v>
      </c>
      <c r="G8" s="29">
        <f>LOG('Dataset Tax &amp; Tax Base'!H6)</f>
        <v>4.6795914076825573</v>
      </c>
      <c r="H8" s="29">
        <f>LOG('Dataset Tax &amp; Tax Base'!I6)</f>
        <v>5.6064566076361517</v>
      </c>
      <c r="I8" s="2"/>
      <c r="J8" s="30">
        <f>LOG('Dataset Tax &amp; Tax Base'!K6)</f>
        <v>6.7803257386677522</v>
      </c>
      <c r="K8" s="30">
        <f>LOG('Dataset Tax &amp; Tax Base'!L6)</f>
        <v>6.6684904702858114</v>
      </c>
      <c r="L8" s="30">
        <f>LOG('Dataset Tax &amp; Tax Base'!N6)</f>
        <v>5.6771121591833049</v>
      </c>
      <c r="M8" s="30">
        <f>LOG('Dataset Tax &amp; Tax Base'!O6)</f>
        <v>5.8025205980614389</v>
      </c>
      <c r="N8" s="30">
        <f>LOG('Dataset Tax &amp; Tax Base'!P6)</f>
        <v>5.6070698852850898</v>
      </c>
    </row>
    <row r="9" spans="1:14" x14ac:dyDescent="0.45">
      <c r="B9" s="16" t="s">
        <v>16</v>
      </c>
      <c r="C9" s="29">
        <f>LOG('Dataset Tax &amp; Tax Base'!C7)</f>
        <v>5.1815520556621149</v>
      </c>
      <c r="D9" s="29">
        <f>LOG('Dataset Tax &amp; Tax Base'!D7)</f>
        <v>5.0236844808966872</v>
      </c>
      <c r="E9" s="29">
        <f>LOG('Dataset Tax &amp; Tax Base'!E7)</f>
        <v>4.9519879873648218</v>
      </c>
      <c r="F9" s="29">
        <f>LOG('Dataset Tax &amp; Tax Base'!G7)</f>
        <v>4.6508318575355734</v>
      </c>
      <c r="G9" s="29">
        <f>LOG('Dataset Tax &amp; Tax Base'!H7)</f>
        <v>4.8378156259146801</v>
      </c>
      <c r="H9" s="29">
        <f>LOG('Dataset Tax &amp; Tax Base'!I7)</f>
        <v>5.6633493908738526</v>
      </c>
      <c r="I9" s="2"/>
      <c r="J9" s="30">
        <f>LOG('Dataset Tax &amp; Tax Base'!K7)</f>
        <v>6.8183330019770656</v>
      </c>
      <c r="K9" s="30">
        <f>LOG('Dataset Tax &amp; Tax Base'!L7)</f>
        <v>6.7095808113371422</v>
      </c>
      <c r="L9" s="30">
        <f>LOG('Dataset Tax &amp; Tax Base'!N7)</f>
        <v>5.7245281787490523</v>
      </c>
      <c r="M9" s="30">
        <f>LOG('Dataset Tax &amp; Tax Base'!O7)</f>
        <v>5.8539244239266797</v>
      </c>
      <c r="N9" s="30">
        <f>LOG('Dataset Tax &amp; Tax Base'!P7)</f>
        <v>5.6398011391484104</v>
      </c>
    </row>
    <row r="10" spans="1:14" x14ac:dyDescent="0.45">
      <c r="B10" s="16" t="s">
        <v>17</v>
      </c>
      <c r="C10" s="29">
        <f>LOG('Dataset Tax &amp; Tax Base'!C8)</f>
        <v>5.2176918293851866</v>
      </c>
      <c r="D10" s="29">
        <f>LOG('Dataset Tax &amp; Tax Base'!D8)</f>
        <v>5.0999394835616743</v>
      </c>
      <c r="E10" s="29">
        <f>LOG('Dataset Tax &amp; Tax Base'!E8)</f>
        <v>4.9698444036091161</v>
      </c>
      <c r="F10" s="29">
        <f>LOG('Dataset Tax &amp; Tax Base'!G8)</f>
        <v>4.6585074498028796</v>
      </c>
      <c r="G10" s="29">
        <f>LOG('Dataset Tax &amp; Tax Base'!H8)</f>
        <v>4.9592561002458782</v>
      </c>
      <c r="H10" s="29">
        <f>LOG('Dataset Tax &amp; Tax Base'!I8)</f>
        <v>5.716706831727234</v>
      </c>
      <c r="I10" s="2"/>
      <c r="J10" s="30">
        <f>LOG('Dataset Tax &amp; Tax Base'!K8)</f>
        <v>6.881480407862349</v>
      </c>
      <c r="K10" s="30">
        <f>LOG('Dataset Tax &amp; Tax Base'!L8)</f>
        <v>6.7735644886512274</v>
      </c>
      <c r="L10" s="30">
        <f>LOG('Dataset Tax &amp; Tax Base'!N8)</f>
        <v>5.8309644242034668</v>
      </c>
      <c r="M10" s="30">
        <f>LOG('Dataset Tax &amp; Tax Base'!O8)</f>
        <v>5.9531916941942642</v>
      </c>
      <c r="N10" s="30">
        <f>LOG('Dataset Tax &amp; Tax Base'!P8)</f>
        <v>5.7987604134841098</v>
      </c>
    </row>
    <row r="11" spans="1:14" x14ac:dyDescent="0.45">
      <c r="B11" s="16" t="s">
        <v>18</v>
      </c>
      <c r="C11" s="29">
        <f>LOG('Dataset Tax &amp; Tax Base'!C9)</f>
        <v>5.2633330217710208</v>
      </c>
      <c r="D11" s="29">
        <f>LOG('Dataset Tax &amp; Tax Base'!D9)</f>
        <v>5.1609035081011312</v>
      </c>
      <c r="E11" s="29">
        <f>LOG('Dataset Tax &amp; Tax Base'!E9)</f>
        <v>4.9717025097332215</v>
      </c>
      <c r="F11" s="29">
        <f>LOG('Dataset Tax &amp; Tax Base'!G9)</f>
        <v>4.7251272350645284</v>
      </c>
      <c r="G11" s="29">
        <f>LOG('Dataset Tax &amp; Tax Base'!H9)</f>
        <v>5.0621079498184622</v>
      </c>
      <c r="H11" s="29">
        <f>LOG('Dataset Tax &amp; Tax Base'!I9)</f>
        <v>5.7711367859924527</v>
      </c>
      <c r="I11" s="2"/>
      <c r="J11" s="30">
        <f>LOG('Dataset Tax &amp; Tax Base'!K9)</f>
        <v>6.9354685705786228</v>
      </c>
      <c r="K11" s="30">
        <f>LOG('Dataset Tax &amp; Tax Base'!L9)</f>
        <v>6.8299258158973082</v>
      </c>
      <c r="L11" s="30">
        <f>LOG('Dataset Tax &amp; Tax Base'!N9)</f>
        <v>5.9403172215742179</v>
      </c>
      <c r="M11" s="30">
        <f>LOG('Dataset Tax &amp; Tax Base'!O9)</f>
        <v>6.0874545094941839</v>
      </c>
      <c r="N11" s="30">
        <f>LOG('Dataset Tax &amp; Tax Base'!P9)</f>
        <v>5.9394268928223699</v>
      </c>
    </row>
    <row r="12" spans="1:14" x14ac:dyDescent="0.45">
      <c r="B12" s="16" t="s">
        <v>19</v>
      </c>
      <c r="C12" s="29">
        <f>LOG('Dataset Tax &amp; Tax Base'!C10)</f>
        <v>5.3521593551213087</v>
      </c>
      <c r="D12" s="29">
        <f>LOG('Dataset Tax &amp; Tax Base'!D10)</f>
        <v>5.2341248239270586</v>
      </c>
      <c r="E12" s="29">
        <f>LOG('Dataset Tax &amp; Tax Base'!E10)</f>
        <v>5.0911497161897774</v>
      </c>
      <c r="F12" s="29">
        <f>LOG('Dataset Tax &amp; Tax Base'!G10)</f>
        <v>4.7425051796758373</v>
      </c>
      <c r="G12" s="29">
        <f>LOG('Dataset Tax &amp; Tax Base'!H10)</f>
        <v>5.1410858797637946</v>
      </c>
      <c r="H12" s="29">
        <f>LOG('Dataset Tax &amp; Tax Base'!I10)</f>
        <v>5.853358672469855</v>
      </c>
      <c r="I12" s="2"/>
      <c r="J12" s="30">
        <f>LOG('Dataset Tax &amp; Tax Base'!K10)</f>
        <v>6.9862821383598295</v>
      </c>
      <c r="K12" s="30">
        <f>LOG('Dataset Tax &amp; Tax Base'!L10)</f>
        <v>6.8870951018108801</v>
      </c>
      <c r="L12" s="30">
        <f>LOG('Dataset Tax &amp; Tax Base'!N10)</f>
        <v>6.0252943931835405</v>
      </c>
      <c r="M12" s="30">
        <f>LOG('Dataset Tax &amp; Tax Base'!O10)</f>
        <v>6.233290112030927</v>
      </c>
      <c r="N12" s="30">
        <f>LOG('Dataset Tax &amp; Tax Base'!P10)</f>
        <v>6.0223611390106395</v>
      </c>
    </row>
    <row r="13" spans="1:14" x14ac:dyDescent="0.45">
      <c r="B13" s="16" t="s">
        <v>20</v>
      </c>
      <c r="C13" s="29">
        <f>LOG('Dataset Tax &amp; Tax Base'!C11)</f>
        <v>5.5234043577037966</v>
      </c>
      <c r="D13" s="29">
        <f>LOG('Dataset Tax &amp; Tax Base'!D11)</f>
        <v>5.2452880597550546</v>
      </c>
      <c r="E13" s="29">
        <f>LOG('Dataset Tax &amp; Tax Base'!E11)</f>
        <v>5.1254389727929306</v>
      </c>
      <c r="F13" s="29">
        <f>LOG('Dataset Tax &amp; Tax Base'!G11)</f>
        <v>4.8561486382470367</v>
      </c>
      <c r="G13" s="29">
        <f>LOG('Dataset Tax &amp; Tax Base'!H11)</f>
        <v>5.1215565615259493</v>
      </c>
      <c r="H13" s="29">
        <f>LOG('Dataset Tax &amp; Tax Base'!I11)</f>
        <v>5.9280044011470894</v>
      </c>
      <c r="I13" s="2"/>
      <c r="J13" s="30">
        <f>LOG('Dataset Tax &amp; Tax Base'!K11)</f>
        <v>7.0478678294086956</v>
      </c>
      <c r="K13" s="30">
        <f>LOG('Dataset Tax &amp; Tax Base'!L11)</f>
        <v>6.9512945244288256</v>
      </c>
      <c r="L13" s="30">
        <f>LOG('Dataset Tax &amp; Tax Base'!N11)</f>
        <v>6.0821938246469127</v>
      </c>
      <c r="M13" s="30">
        <f>LOG('Dataset Tax &amp; Tax Base'!O11)</f>
        <v>6.2675954869125334</v>
      </c>
      <c r="N13" s="30">
        <f>LOG('Dataset Tax &amp; Tax Base'!P11)</f>
        <v>6.0045805831180354</v>
      </c>
    </row>
    <row r="14" spans="1:14" x14ac:dyDescent="0.45">
      <c r="B14" s="16" t="s">
        <v>21</v>
      </c>
      <c r="C14" s="29">
        <f>LOG('Dataset Tax &amp; Tax Base'!C12)</f>
        <v>5.5886761128397824</v>
      </c>
      <c r="D14" s="29">
        <f>LOG('Dataset Tax &amp; Tax Base'!D12)</f>
        <v>5.2923314016207987</v>
      </c>
      <c r="E14" s="29">
        <f>LOG('Dataset Tax &amp; Tax Base'!E12)</f>
        <v>5.2586277061139279</v>
      </c>
      <c r="F14" s="29">
        <f>LOG('Dataset Tax &amp; Tax Base'!G12)</f>
        <v>4.9644340674276597</v>
      </c>
      <c r="G14" s="29">
        <f>LOG('Dataset Tax &amp; Tax Base'!H12)</f>
        <v>5.1780066108496134</v>
      </c>
      <c r="H14" s="29">
        <f>LOG('Dataset Tax &amp; Tax Base'!I12)</f>
        <v>6.0034997374805732</v>
      </c>
      <c r="I14" s="2"/>
      <c r="J14" s="30">
        <f>LOG('Dataset Tax &amp; Tax Base'!K12)</f>
        <v>7.1019922230749248</v>
      </c>
      <c r="K14" s="30">
        <f>LOG('Dataset Tax &amp; Tax Base'!L12)</f>
        <v>7.003170560993869</v>
      </c>
      <c r="L14" s="30">
        <f>LOG('Dataset Tax &amp; Tax Base'!N12)</f>
        <v>6.1660104187630411</v>
      </c>
      <c r="M14" s="30">
        <f>LOG('Dataset Tax &amp; Tax Base'!O12)</f>
        <v>6.4000320828177779</v>
      </c>
      <c r="N14" s="30">
        <f>LOG('Dataset Tax &amp; Tax Base'!P12)</f>
        <v>6.1084621879429939</v>
      </c>
    </row>
    <row r="15" spans="1:14" x14ac:dyDescent="0.45">
      <c r="B15" s="16" t="s">
        <v>22</v>
      </c>
      <c r="C15" s="29">
        <f>LOG('Dataset Tax &amp; Tax Base'!C13)</f>
        <v>5.6469409190523567</v>
      </c>
      <c r="D15" s="29">
        <f>LOG('Dataset Tax &amp; Tax Base'!D13)</f>
        <v>5.3090230082705956</v>
      </c>
      <c r="E15" s="29">
        <f>LOG('Dataset Tax &amp; Tax Base'!E13)</f>
        <v>5.3945024622925803</v>
      </c>
      <c r="F15" s="29">
        <f>LOG('Dataset Tax &amp; Tax Base'!G13)</f>
        <v>5.0698715092037876</v>
      </c>
      <c r="G15" s="29">
        <f>LOG('Dataset Tax &amp; Tax Base'!H13)</f>
        <v>5.1714426803923113</v>
      </c>
      <c r="H15" s="29">
        <f>LOG('Dataset Tax &amp; Tax Base'!I13)</f>
        <v>6.064888438718647</v>
      </c>
      <c r="I15" s="2"/>
      <c r="J15" s="30">
        <f>LOG('Dataset Tax &amp; Tax Base'!K13)</f>
        <v>7.1674856429440137</v>
      </c>
      <c r="K15" s="30">
        <f>LOG('Dataset Tax &amp; Tax Base'!L13)</f>
        <v>7.0607650186257658</v>
      </c>
      <c r="L15" s="30">
        <f>LOG('Dataset Tax &amp; Tax Base'!N13)</f>
        <v>6.1977931366221961</v>
      </c>
      <c r="M15" s="30">
        <f>LOG('Dataset Tax &amp; Tax Base'!O13)</f>
        <v>6.4351385417986346</v>
      </c>
      <c r="N15" s="30">
        <f>LOG('Dataset Tax &amp; Tax Base'!P13)</f>
        <v>6.1263356757673755</v>
      </c>
    </row>
    <row r="16" spans="1:14" x14ac:dyDescent="0.45">
      <c r="B16" s="16" t="s">
        <v>23</v>
      </c>
      <c r="C16" s="29">
        <f>LOG('Dataset Tax &amp; Tax Base'!C14)</f>
        <v>5.7209668362447417</v>
      </c>
      <c r="D16" s="29">
        <f>LOG('Dataset Tax &amp; Tax Base'!D14)</f>
        <v>5.3931292742146981</v>
      </c>
      <c r="E16" s="29">
        <f>LOG('Dataset Tax &amp; Tax Base'!E14)</f>
        <v>5.4299169255071069</v>
      </c>
      <c r="F16" s="29">
        <f>LOG('Dataset Tax &amp; Tax Base'!G14)</f>
        <v>5.0961592510340701</v>
      </c>
      <c r="G16" s="29">
        <f>LOG('Dataset Tax &amp; Tax Base'!H14)</f>
        <v>5.2048595532395909</v>
      </c>
      <c r="H16" s="29">
        <f>LOG('Dataset Tax &amp; Tax Base'!I14)</f>
        <v>6.1229958913656022</v>
      </c>
      <c r="I16" s="2"/>
      <c r="J16" s="30">
        <f>LOG('Dataset Tax &amp; Tax Base'!K14)</f>
        <v>7.2176695456989881</v>
      </c>
      <c r="K16" s="30">
        <f>LOG('Dataset Tax &amp; Tax Base'!L14)</f>
        <v>7.105911900145462</v>
      </c>
      <c r="L16" s="30">
        <f>LOG('Dataset Tax &amp; Tax Base'!N14)</f>
        <v>6.257737356608116</v>
      </c>
      <c r="M16" s="30">
        <f>LOG('Dataset Tax &amp; Tax Base'!O14)</f>
        <v>6.4640384756522531</v>
      </c>
      <c r="N16" s="30">
        <f>LOG('Dataset Tax &amp; Tax Base'!P14)</f>
        <v>6.1250610818440006</v>
      </c>
    </row>
    <row r="17" spans="2:14" x14ac:dyDescent="0.45">
      <c r="B17" s="16" t="s">
        <v>24</v>
      </c>
      <c r="C17" s="29">
        <f>LOG('Dataset Tax &amp; Tax Base'!C15)</f>
        <v>5.7799217295954444</v>
      </c>
      <c r="D17" s="29">
        <f>LOG('Dataset Tax &amp; Tax Base'!D15)</f>
        <v>5.4894634671389362</v>
      </c>
      <c r="E17" s="29">
        <f>LOG('Dataset Tax &amp; Tax Base'!E15)</f>
        <v>5.5114943261873455</v>
      </c>
      <c r="F17" s="29">
        <f>LOG('Dataset Tax &amp; Tax Base'!G15)</f>
        <v>5.1378381495171714</v>
      </c>
      <c r="G17" s="29">
        <f>LOG('Dataset Tax &amp; Tax Base'!H15)</f>
        <v>5.2668265031800123</v>
      </c>
      <c r="H17" s="29">
        <f>LOG('Dataset Tax &amp; Tax Base'!I15)</f>
        <v>6.1925713558368214</v>
      </c>
      <c r="I17" s="2"/>
      <c r="J17" s="30">
        <f>LOG('Dataset Tax &amp; Tax Base'!K15)</f>
        <v>7.2951497569014849</v>
      </c>
      <c r="K17" s="30">
        <f>LOG('Dataset Tax &amp; Tax Base'!L15)</f>
        <v>7.176992757733073</v>
      </c>
      <c r="L17" s="30">
        <f>LOG('Dataset Tax &amp; Tax Base'!N15)</f>
        <v>6.3436309035484939</v>
      </c>
      <c r="M17" s="30">
        <f>LOG('Dataset Tax &amp; Tax Base'!O15)</f>
        <v>6.5384840005036233</v>
      </c>
      <c r="N17" s="30">
        <f>LOG('Dataset Tax &amp; Tax Base'!P15)</f>
        <v>6.1822231439896376</v>
      </c>
    </row>
    <row r="18" spans="2:14" x14ac:dyDescent="0.45">
      <c r="B18" s="16" t="s">
        <v>25</v>
      </c>
      <c r="C18" s="29">
        <f>LOG('Dataset Tax &amp; Tax Base'!C16)</f>
        <v>5.868305803535435</v>
      </c>
      <c r="D18" s="29">
        <f>LOG('Dataset Tax &amp; Tax Base'!D16)</f>
        <v>5.6338712536086435</v>
      </c>
      <c r="E18" s="29">
        <f>LOG('Dataset Tax &amp; Tax Base'!E16)</f>
        <v>5.5734518220354854</v>
      </c>
      <c r="F18" s="29">
        <f>LOG('Dataset Tax &amp; Tax Base'!G16)</f>
        <v>5.0880084405444057</v>
      </c>
      <c r="G18" s="29">
        <f>LOG('Dataset Tax &amp; Tax Base'!H16)</f>
        <v>5.3362715655266459</v>
      </c>
      <c r="H18" s="29">
        <f>LOG('Dataset Tax &amp; Tax Base'!I16)</f>
        <v>6.2747795078680166</v>
      </c>
      <c r="I18" s="2"/>
      <c r="J18" s="30">
        <f>LOG('Dataset Tax &amp; Tax Base'!K16)</f>
        <v>7.3491733425911674</v>
      </c>
      <c r="K18" s="30">
        <f>LOG('Dataset Tax &amp; Tax Base'!L16)</f>
        <v>7.2334803707210975</v>
      </c>
      <c r="L18" s="30">
        <f>LOG('Dataset Tax &amp; Tax Base'!N16)</f>
        <v>6.4075948305107451</v>
      </c>
      <c r="M18" s="30">
        <f>LOG('Dataset Tax &amp; Tax Base'!O16)</f>
        <v>6.6030461308123458</v>
      </c>
      <c r="N18" s="30">
        <f>LOG('Dataset Tax &amp; Tax Base'!P16)</f>
        <v>6.2041704664551318</v>
      </c>
    </row>
    <row r="19" spans="2:14" x14ac:dyDescent="0.45">
      <c r="B19" s="16" t="s">
        <v>26</v>
      </c>
      <c r="C19" s="29">
        <f>LOG('Dataset Tax &amp; Tax Base'!C17)</f>
        <v>5.8712278145303252</v>
      </c>
      <c r="D19" s="29">
        <f>LOG('Dataset Tax &amp; Tax Base'!D17)</f>
        <v>5.6332977341973924</v>
      </c>
      <c r="E19" s="29">
        <f>LOG('Dataset Tax &amp; Tax Base'!E17)</f>
        <v>5.6156313118912733</v>
      </c>
      <c r="F19" s="29">
        <f>LOG('Dataset Tax &amp; Tax Base'!G17)</f>
        <v>5.0826561395096865</v>
      </c>
      <c r="G19" s="29">
        <f>LOG('Dataset Tax &amp; Tax Base'!H17)</f>
        <v>5.3792311645228468</v>
      </c>
      <c r="H19" s="29">
        <f>LOG('Dataset Tax &amp; Tax Base'!I17)</f>
        <v>6.2892231707492208</v>
      </c>
      <c r="I19" s="2"/>
      <c r="J19" s="30">
        <f>LOG('Dataset Tax &amp; Tax Base'!K17)</f>
        <v>7.3986719421077041</v>
      </c>
      <c r="K19" s="30">
        <f>LOG('Dataset Tax &amp; Tax Base'!L17)</f>
        <v>7.2811532478106864</v>
      </c>
      <c r="L19" s="30">
        <f>LOG('Dataset Tax &amp; Tax Base'!N17)</f>
        <v>6.4405462316941771</v>
      </c>
      <c r="M19" s="30">
        <f>LOG('Dataset Tax &amp; Tax Base'!O17)</f>
        <v>6.6384772762519537</v>
      </c>
      <c r="N19" s="30">
        <f>LOG('Dataset Tax &amp; Tax Base'!P17)</f>
        <v>6.21822634767965</v>
      </c>
    </row>
    <row r="20" spans="2:14" x14ac:dyDescent="0.45">
      <c r="B20" s="16" t="s">
        <v>27</v>
      </c>
      <c r="C20" s="29">
        <f>LOG('Dataset Tax &amp; Tax Base'!C18)</f>
        <v>5.9431258521980412</v>
      </c>
      <c r="D20" s="29">
        <f>LOG('Dataset Tax &amp; Tax Base'!D18)</f>
        <v>5.6948946321211578</v>
      </c>
      <c r="E20" s="29">
        <f>LOG('Dataset Tax &amp; Tax Base'!E18)</f>
        <v>5.6998828000012809</v>
      </c>
      <c r="F20" s="29">
        <f>LOG('Dataset Tax &amp; Tax Base'!G18)</f>
        <v>5.1401433591414571</v>
      </c>
      <c r="G20" s="29">
        <f>LOG('Dataset Tax &amp; Tax Base'!H18)</f>
        <v>5.3852683575724472</v>
      </c>
      <c r="H20" s="29">
        <f>LOG('Dataset Tax &amp; Tax Base'!I18)</f>
        <v>6.3530564039028654</v>
      </c>
      <c r="I20" s="2"/>
      <c r="J20" s="30">
        <f>LOG('Dataset Tax &amp; Tax Base'!K18)</f>
        <v>7.4464255502334025</v>
      </c>
      <c r="K20" s="30">
        <f>LOG('Dataset Tax &amp; Tax Base'!L18)</f>
        <v>7.3301282425032248</v>
      </c>
      <c r="L20" s="30">
        <f>LOG('Dataset Tax &amp; Tax Base'!N18)</f>
        <v>6.4878497808076965</v>
      </c>
      <c r="M20" s="30">
        <f>LOG('Dataset Tax &amp; Tax Base'!O18)</f>
        <v>6.6660473023018323</v>
      </c>
      <c r="N20" s="30">
        <f>LOG('Dataset Tax &amp; Tax Base'!P18)</f>
        <v>6.2500401945856803</v>
      </c>
    </row>
    <row r="21" spans="2:14" x14ac:dyDescent="0.45">
      <c r="B21" s="16" t="s">
        <v>28</v>
      </c>
      <c r="C21" s="29">
        <f>LOG('Dataset Tax &amp; Tax Base'!C19)</f>
        <v>6.0144029189102888</v>
      </c>
      <c r="D21" s="29">
        <f>LOG('Dataset Tax &amp; Tax Base'!D19)</f>
        <v>5.742747120342039</v>
      </c>
      <c r="E21" s="29">
        <f>LOG('Dataset Tax &amp; Tax Base'!E19)</f>
        <v>5.7281605388729426</v>
      </c>
      <c r="F21" s="29">
        <f>LOG('Dataset Tax &amp; Tax Base'!G19)</f>
        <v>5.2101793520405595</v>
      </c>
      <c r="G21" s="29">
        <f>LOG('Dataset Tax &amp; Tax Base'!H19)</f>
        <v>5.4860335521557868</v>
      </c>
      <c r="H21" s="29">
        <f>LOG('Dataset Tax &amp; Tax Base'!I19)</f>
        <v>6.4132960750777075</v>
      </c>
      <c r="I21" s="2"/>
      <c r="J21" s="30">
        <f>LOG('Dataset Tax &amp; Tax Base'!K19)</f>
        <v>7.4832431480727575</v>
      </c>
      <c r="K21" s="30">
        <f>LOG('Dataset Tax &amp; Tax Base'!L19)</f>
        <v>7.3682488661964909</v>
      </c>
      <c r="L21" s="30">
        <f>LOG('Dataset Tax &amp; Tax Base'!N19)</f>
        <v>6.4757925995081624</v>
      </c>
      <c r="M21" s="30">
        <f>LOG('Dataset Tax &amp; Tax Base'!O19)</f>
        <v>6.67388669617596</v>
      </c>
      <c r="N21" s="30">
        <f>LOG('Dataset Tax &amp; Tax Base'!P19)</f>
        <v>6.4319056506548185</v>
      </c>
    </row>
    <row r="22" spans="2:14" x14ac:dyDescent="0.45">
      <c r="B22" s="16" t="s">
        <v>29</v>
      </c>
      <c r="C22" s="29">
        <f>LOG('Dataset Tax &amp; Tax Base'!C20)</f>
        <v>6.0854596953264259</v>
      </c>
      <c r="D22" s="29">
        <f>LOG('Dataset Tax &amp; Tax Base'!D20)</f>
        <v>5.8314301404826292</v>
      </c>
      <c r="E22" s="29">
        <f>LOG('Dataset Tax &amp; Tax Base'!E20)</f>
        <v>5.7952249549218093</v>
      </c>
      <c r="F22" s="29">
        <f>LOG('Dataset Tax &amp; Tax Base'!G20)</f>
        <v>5.2742848849189699</v>
      </c>
      <c r="G22" s="29">
        <f>LOG('Dataset Tax &amp; Tax Base'!H20)</f>
        <v>5.6069958224133263</v>
      </c>
      <c r="H22" s="29">
        <f>LOG('Dataset Tax &amp; Tax Base'!I20)</f>
        <v>6.4931054531800365</v>
      </c>
      <c r="I22" s="2"/>
      <c r="J22" s="30">
        <f>LOG('Dataset Tax &amp; Tax Base'!K20)</f>
        <v>7.5148803055028139</v>
      </c>
      <c r="K22" s="30">
        <f>LOG('Dataset Tax &amp; Tax Base'!L20)</f>
        <v>7.4051429472812762</v>
      </c>
      <c r="L22" s="30">
        <f>LOG('Dataset Tax &amp; Tax Base'!N20)</f>
        <v>6.4535796027382304</v>
      </c>
      <c r="M22" s="30">
        <f>LOG('Dataset Tax &amp; Tax Base'!O20)</f>
        <v>6.6741239593414248</v>
      </c>
      <c r="N22" s="30">
        <f>LOG('Dataset Tax &amp; Tax Base'!P20)</f>
        <v>6.5399936741663396</v>
      </c>
    </row>
    <row r="23" spans="2:14" x14ac:dyDescent="0.45">
      <c r="B23" s="16" t="s">
        <v>30</v>
      </c>
      <c r="C23" s="29">
        <f>LOG('Dataset Tax &amp; Tax Base'!C21)</f>
        <v>6.1284722912636349</v>
      </c>
      <c r="D23" s="29">
        <f>LOG('Dataset Tax &amp; Tax Base'!D21)</f>
        <v>5.8466865105492598</v>
      </c>
      <c r="E23" s="29">
        <f>LOG('Dataset Tax &amp; Tax Base'!E21)</f>
        <v>5.7968517490498872</v>
      </c>
      <c r="F23" s="29">
        <f>LOG('Dataset Tax &amp; Tax Base'!G21)</f>
        <v>5.2964699331985017</v>
      </c>
      <c r="G23" s="29">
        <f>LOG('Dataset Tax &amp; Tax Base'!H21)</f>
        <v>5.6961571093340106</v>
      </c>
      <c r="H23" s="29">
        <f>LOG('Dataset Tax &amp; Tax Base'!I21)</f>
        <v>6.5273558351648067</v>
      </c>
      <c r="I23" s="2"/>
      <c r="J23" s="30">
        <f>LOG('Dataset Tax &amp; Tax Base'!K21)</f>
        <v>7.5508740418479645</v>
      </c>
      <c r="K23" s="30">
        <f>LOG('Dataset Tax &amp; Tax Base'!L21)</f>
        <v>7.4431734744456044</v>
      </c>
      <c r="L23" s="30">
        <f>LOG('Dataset Tax &amp; Tax Base'!N21)</f>
        <v>6.4889940908935664</v>
      </c>
      <c r="M23" s="30">
        <f>LOG('Dataset Tax &amp; Tax Base'!O21)</f>
        <v>6.7469171764451001</v>
      </c>
      <c r="N23" s="30">
        <f>LOG('Dataset Tax &amp; Tax Base'!P21)</f>
        <v>6.6092889084807416</v>
      </c>
    </row>
    <row r="24" spans="2:14" x14ac:dyDescent="0.45">
      <c r="B24" s="16" t="s">
        <v>31</v>
      </c>
      <c r="C24" s="29">
        <f>LOG('Dataset Tax &amp; Tax Base'!C22)</f>
        <v>6.1865560240577002</v>
      </c>
      <c r="D24" s="29">
        <f>LOG('Dataset Tax &amp; Tax Base'!D22)</f>
        <v>5.9160426217149551</v>
      </c>
      <c r="E24" s="29">
        <f>LOG('Dataset Tax &amp; Tax Base'!E22)</f>
        <v>5.8202586170251669</v>
      </c>
      <c r="F24" s="29">
        <f>LOG('Dataset Tax &amp; Tax Base'!G22)</f>
        <v>5.3293836399642673</v>
      </c>
      <c r="G24" s="29">
        <f>LOG('Dataset Tax &amp; Tax Base'!H22)</f>
        <v>5.7841699315295303</v>
      </c>
      <c r="H24" s="29">
        <f>LOG('Dataset Tax &amp; Tax Base'!I22)</f>
        <v>6.5847556980550364</v>
      </c>
      <c r="I24" s="2"/>
      <c r="J24" s="30">
        <f>LOG('Dataset Tax &amp; Tax Base'!K22)</f>
        <v>7.593173157937108</v>
      </c>
      <c r="K24" s="30">
        <f>LOG('Dataset Tax &amp; Tax Base'!L22)</f>
        <v>7.4872053110837919</v>
      </c>
      <c r="L24" s="30">
        <f>LOG('Dataset Tax &amp; Tax Base'!N22)</f>
        <v>6.5439656628698213</v>
      </c>
      <c r="M24" s="30">
        <f>LOG('Dataset Tax &amp; Tax Base'!O22)</f>
        <v>6.8292830548815751</v>
      </c>
      <c r="N24" s="30">
        <f>LOG('Dataset Tax &amp; Tax Base'!P22)</f>
        <v>6.6686023576140796</v>
      </c>
    </row>
    <row r="25" spans="2:14" x14ac:dyDescent="0.45">
      <c r="B25" s="16" t="s">
        <v>32</v>
      </c>
      <c r="C25" s="29">
        <f>LOG('Dataset Tax &amp; Tax Base'!C23)</f>
        <v>6.1600204995668575</v>
      </c>
      <c r="D25" s="29">
        <f>LOG('Dataset Tax &amp; Tax Base'!D23)</f>
        <v>5.9086763879813207</v>
      </c>
      <c r="E25" s="29">
        <f>LOG('Dataset Tax &amp; Tax Base'!E23)</f>
        <v>5.8121483249291437</v>
      </c>
      <c r="F25" s="29">
        <f>LOG('Dataset Tax &amp; Tax Base'!G23)</f>
        <v>5.3769162311122054</v>
      </c>
      <c r="G25" s="29">
        <f>LOG('Dataset Tax &amp; Tax Base'!H23)</f>
        <v>5.8360549723340363</v>
      </c>
      <c r="H25" s="29">
        <f>LOG('Dataset Tax &amp; Tax Base'!I23)</f>
        <v>6.5830266095547971</v>
      </c>
      <c r="I25" s="2"/>
      <c r="J25" s="30">
        <f>LOG('Dataset Tax &amp; Tax Base'!K23)</f>
        <v>7.6414582554914805</v>
      </c>
      <c r="K25" s="30">
        <f>LOG('Dataset Tax &amp; Tax Base'!L23)</f>
        <v>7.5408526158479825</v>
      </c>
      <c r="L25" s="30">
        <f>LOG('Dataset Tax &amp; Tax Base'!N23)</f>
        <v>6.6300356123955684</v>
      </c>
      <c r="M25" s="30">
        <f>LOG('Dataset Tax &amp; Tax Base'!O23)</f>
        <v>6.875030456343814</v>
      </c>
      <c r="N25" s="30">
        <f>LOG('Dataset Tax &amp; Tax Base'!P23)</f>
        <v>6.7036961582787491</v>
      </c>
    </row>
    <row r="26" spans="2:14" x14ac:dyDescent="0.45">
      <c r="B26" s="16" t="s">
        <v>33</v>
      </c>
      <c r="C26" s="29">
        <f>LOG('Dataset Tax &amp; Tax Base'!C24)</f>
        <v>6.1827181530161841</v>
      </c>
      <c r="D26" s="29">
        <f>LOG('Dataset Tax &amp; Tax Base'!D24)</f>
        <v>5.9426691661928759</v>
      </c>
      <c r="E26" s="29">
        <f>LOG('Dataset Tax &amp; Tax Base'!E24)</f>
        <v>5.8576165045206592</v>
      </c>
      <c r="F26" s="29">
        <f>LOG('Dataset Tax &amp; Tax Base'!G24)</f>
        <v>5.3987557157733681</v>
      </c>
      <c r="G26" s="29">
        <f>LOG('Dataset Tax &amp; Tax Base'!H24)</f>
        <v>5.7968364957829825</v>
      </c>
      <c r="H26" s="29">
        <f>LOG('Dataset Tax &amp; Tax Base'!I24)</f>
        <v>6.6017032891120158</v>
      </c>
      <c r="I26" s="2"/>
      <c r="J26" s="30">
        <f>LOG('Dataset Tax &amp; Tax Base'!K24)</f>
        <v>7.6770629137337476</v>
      </c>
      <c r="K26" s="30">
        <f>LOG('Dataset Tax &amp; Tax Base'!L24)</f>
        <v>7.5699689300845732</v>
      </c>
      <c r="L26" s="30">
        <f>LOG('Dataset Tax &amp; Tax Base'!N24)</f>
        <v>6.6048992277046015</v>
      </c>
      <c r="M26" s="30">
        <f>LOG('Dataset Tax &amp; Tax Base'!O24)</f>
        <v>6.8486399947059917</v>
      </c>
      <c r="N26" s="30">
        <f>LOG('Dataset Tax &amp; Tax Base'!P24)</f>
        <v>6.6488613560209604</v>
      </c>
    </row>
    <row r="27" spans="2:14" x14ac:dyDescent="0.45">
      <c r="B27" s="17" t="s">
        <v>34</v>
      </c>
      <c r="C27" s="29">
        <f>LOG('Dataset Tax &amp; Tax Base'!C25)</f>
        <v>6.2383605389759271</v>
      </c>
      <c r="D27" s="29">
        <f>LOG('Dataset Tax &amp; Tax Base'!D25)</f>
        <v>6.0476299478082929</v>
      </c>
      <c r="E27" s="29">
        <f>LOG('Dataset Tax &amp; Tax Base'!E25)</f>
        <v>5.9407121721822591</v>
      </c>
      <c r="F27" s="29">
        <f>LOG('Dataset Tax &amp; Tax Base'!G25)</f>
        <v>5.4425518841820146</v>
      </c>
      <c r="G27" s="29">
        <f>LOG('Dataset Tax &amp; Tax Base'!H25)</f>
        <v>5.8741279758164353</v>
      </c>
      <c r="H27" s="29">
        <f>LOG('Dataset Tax &amp; Tax Base'!I25)</f>
        <v>6.6762356676023966</v>
      </c>
      <c r="I27" s="2"/>
      <c r="J27" s="30">
        <f>LOG('Dataset Tax &amp; Tax Base'!K25)</f>
        <v>7.7469160486357236</v>
      </c>
      <c r="K27" s="30">
        <f>LOG('Dataset Tax &amp; Tax Base'!L25)</f>
        <v>7.6353061323119826</v>
      </c>
      <c r="L27" s="30">
        <f>LOG('Dataset Tax &amp; Tax Base'!N25)</f>
        <v>6.6931668403294635</v>
      </c>
      <c r="M27" s="30">
        <f>LOG('Dataset Tax &amp; Tax Base'!O25)</f>
        <v>6.9534879673834604</v>
      </c>
      <c r="N27" s="30">
        <f>LOG('Dataset Tax &amp; Tax Base'!P25)</f>
        <v>6.630287596613381</v>
      </c>
    </row>
    <row r="28" spans="2:14" x14ac:dyDescent="0.45">
      <c r="B28" s="17" t="s">
        <v>35</v>
      </c>
      <c r="C28" s="29">
        <f>LOG('Dataset Tax &amp; Tax Base'!C26)</f>
        <v>6.3588702388010381</v>
      </c>
      <c r="D28" s="29">
        <f>LOG('Dataset Tax &amp; Tax Base'!D26)</f>
        <v>6.24072193336099</v>
      </c>
      <c r="E28" s="29">
        <f>LOG('Dataset Tax &amp; Tax Base'!E26)</f>
        <v>5.8984706718778481</v>
      </c>
      <c r="F28" s="29">
        <f>LOG('Dataset Tax &amp; Tax Base'!G26)</f>
        <v>5.5060420794708298</v>
      </c>
      <c r="G28" s="29">
        <f>LOG('Dataset Tax &amp; Tax Base'!H26)</f>
        <v>6.0046196875127684</v>
      </c>
      <c r="H28" s="29">
        <f>LOG('Dataset Tax &amp; Tax Base'!I26)</f>
        <v>6.7887688948352238</v>
      </c>
      <c r="I28" s="2"/>
      <c r="J28" s="30">
        <f>LOG('Dataset Tax &amp; Tax Base'!K26)</f>
        <v>7.8238514189758375</v>
      </c>
      <c r="K28" s="30">
        <f>LOG('Dataset Tax &amp; Tax Base'!L26)</f>
        <v>7.7141222549167701</v>
      </c>
      <c r="L28" s="30">
        <f>LOG('Dataset Tax &amp; Tax Base'!N26)</f>
        <v>6.8476147910658796</v>
      </c>
      <c r="M28" s="30">
        <f>LOG('Dataset Tax &amp; Tax Base'!O26)</f>
        <v>7.1545272541385172</v>
      </c>
      <c r="N28" s="30">
        <f>LOG('Dataset Tax &amp; Tax Base'!P26)</f>
        <v>6.8076194434644783</v>
      </c>
    </row>
    <row r="29" spans="2:14" x14ac:dyDescent="0.45">
      <c r="B29" s="17" t="s">
        <v>36</v>
      </c>
      <c r="C29" s="29">
        <f>LOG('Dataset Tax &amp; Tax Base'!C27)</f>
        <v>6.5146566446576282</v>
      </c>
      <c r="D29" s="29">
        <f>LOG('Dataset Tax &amp; Tax Base'!D27)</f>
        <v>6.2023765958295947</v>
      </c>
      <c r="E29" s="29">
        <f>LOG('Dataset Tax &amp; Tax Base'!E27)</f>
        <v>5.9990626502705231</v>
      </c>
      <c r="F29" s="29">
        <f>LOG('Dataset Tax &amp; Tax Base'!G27)</f>
        <v>5.5680667196654436</v>
      </c>
      <c r="G29" s="29">
        <f>LOG('Dataset Tax &amp; Tax Base'!H27)</f>
        <v>5.9692886808502177</v>
      </c>
      <c r="H29" s="29">
        <f>LOG('Dataset Tax &amp; Tax Base'!I27)</f>
        <v>6.8551474537815658</v>
      </c>
      <c r="I29" s="2"/>
      <c r="J29" s="30">
        <f>LOG('Dataset Tax &amp; Tax Base'!K27)</f>
        <v>7.9224702544751215</v>
      </c>
      <c r="K29" s="30">
        <f>LOG('Dataset Tax &amp; Tax Base'!L27)</f>
        <v>7.806547597913494</v>
      </c>
      <c r="L29" s="30">
        <f>LOG('Dataset Tax &amp; Tax Base'!N27)</f>
        <v>6.9312553222191822</v>
      </c>
      <c r="M29" s="30">
        <f>LOG('Dataset Tax &amp; Tax Base'!O27)</f>
        <v>7.1294639229690393</v>
      </c>
      <c r="N29" s="30">
        <f>LOG('Dataset Tax &amp; Tax Base'!P27)</f>
        <v>6.7214332661552332</v>
      </c>
    </row>
    <row r="30" spans="2:14" x14ac:dyDescent="0.45">
      <c r="B30" s="17" t="s">
        <v>37</v>
      </c>
      <c r="C30" s="29">
        <f>LOG('Dataset Tax &amp; Tax Base'!C28)</f>
        <v>6.6561682778746931</v>
      </c>
      <c r="D30" s="29">
        <f>LOG('Dataset Tax &amp; Tax Base'!D28)</f>
        <v>6.2704335593405043</v>
      </c>
      <c r="E30" s="29">
        <f>LOG('Dataset Tax &amp; Tax Base'!E28)</f>
        <v>6.0873856179408614</v>
      </c>
      <c r="F30" s="29">
        <f>LOG('Dataset Tax &amp; Tax Base'!G28)</f>
        <v>5.7615151377720251</v>
      </c>
      <c r="G30" s="29">
        <f>LOG('Dataset Tax &amp; Tax Base'!H28)</f>
        <v>6.0429950358742053</v>
      </c>
      <c r="H30" s="29">
        <f>LOG('Dataset Tax &amp; Tax Base'!I28)</f>
        <v>6.9684399839638935</v>
      </c>
      <c r="I30" s="2"/>
      <c r="J30" s="30">
        <f>LOG('Dataset Tax &amp; Tax Base'!K28)</f>
        <v>8.0227553011285728</v>
      </c>
      <c r="K30" s="30">
        <f>LOG('Dataset Tax &amp; Tax Base'!L28)</f>
        <v>7.905275759004712</v>
      </c>
      <c r="L30" s="30">
        <f>LOG('Dataset Tax &amp; Tax Base'!N28)</f>
        <v>7.005979616850027</v>
      </c>
      <c r="M30" s="30">
        <f>LOG('Dataset Tax &amp; Tax Base'!O28)</f>
        <v>7.1898304292965989</v>
      </c>
      <c r="N30" s="30">
        <f>LOG('Dataset Tax &amp; Tax Base'!P28)</f>
        <v>6.9189122439403237</v>
      </c>
    </row>
    <row r="31" spans="2:14" x14ac:dyDescent="0.45">
      <c r="B31" s="17" t="s">
        <v>38</v>
      </c>
      <c r="C31" s="29">
        <f>LOG('Dataset Tax &amp; Tax Base'!C29)</f>
        <v>6.7628035835378544</v>
      </c>
      <c r="D31" s="29">
        <f>LOG('Dataset Tax &amp; Tax Base'!D29)</f>
        <v>6.3582878534814942</v>
      </c>
      <c r="E31" s="29">
        <f>LOG('Dataset Tax &amp; Tax Base'!E29)</f>
        <v>6.2093857793034246</v>
      </c>
      <c r="F31" s="29">
        <f>LOG('Dataset Tax &amp; Tax Base'!G29)</f>
        <v>5.8845920416305884</v>
      </c>
      <c r="G31" s="29">
        <f>LOG('Dataset Tax &amp; Tax Base'!H29)</f>
        <v>6.1087706222904412</v>
      </c>
      <c r="H31" s="29">
        <f>LOG('Dataset Tax &amp; Tax Base'!I29)</f>
        <v>7.0698266927148063</v>
      </c>
      <c r="I31" s="2"/>
      <c r="J31" s="30">
        <f>LOG('Dataset Tax &amp; Tax Base'!K29)</f>
        <v>8.0566570423151145</v>
      </c>
      <c r="K31" s="30">
        <f>LOG('Dataset Tax &amp; Tax Base'!L29)</f>
        <v>7.9431933435305471</v>
      </c>
      <c r="L31" s="30">
        <f>LOG('Dataset Tax &amp; Tax Base'!N29)</f>
        <v>7.0189108974807182</v>
      </c>
      <c r="M31" s="30">
        <f>LOG('Dataset Tax &amp; Tax Base'!O29)</f>
        <v>7.2123674929490225</v>
      </c>
      <c r="N31" s="30">
        <f>LOG('Dataset Tax &amp; Tax Base'!P29)</f>
        <v>6.9116880830767444</v>
      </c>
    </row>
    <row r="32" spans="2:14" x14ac:dyDescent="0.45">
      <c r="B32" s="25" t="s">
        <v>69</v>
      </c>
      <c r="C32" s="29">
        <f>LOG('Dataset Tax &amp; Tax Base'!C30)</f>
        <v>6.8389749549554679</v>
      </c>
      <c r="D32" s="29">
        <f>LOG('Dataset Tax &amp; Tax Base'!D30)</f>
        <v>6.4622976493055253</v>
      </c>
      <c r="E32" s="29">
        <f>LOG('Dataset Tax &amp; Tax Base'!E30)</f>
        <v>6.2680324213212577</v>
      </c>
      <c r="F32" s="29">
        <f>LOG('Dataset Tax &amp; Tax Base'!G30)</f>
        <v>5.9484129657786013</v>
      </c>
      <c r="G32" s="29">
        <f>LOG('Dataset Tax &amp; Tax Base'!H30)</f>
        <v>6.2008504980910777</v>
      </c>
      <c r="H32" s="29">
        <f>LOG('Dataset Tax &amp; Tax Base'!I30)</f>
        <v>7.1501728963931317</v>
      </c>
      <c r="J32" s="30">
        <f>LOG('Dataset Tax &amp; Tax Base'!K30)</f>
        <v>8.1010421479712917</v>
      </c>
      <c r="K32" s="30">
        <f>LOG('Dataset Tax &amp; Tax Base'!L30)</f>
        <v>7.987532873143774</v>
      </c>
      <c r="L32" s="30">
        <f>LOG('Dataset Tax &amp; Tax Base'!N30)</f>
        <v>7.0396863856742762</v>
      </c>
      <c r="M32" s="30">
        <f>LOG('Dataset Tax &amp; Tax Base'!O30)</f>
        <v>7.2671012965599688</v>
      </c>
      <c r="N32" s="30">
        <f>LOG('Dataset Tax &amp; Tax Base'!P30)</f>
        <v>6.9391991544956868</v>
      </c>
    </row>
    <row r="34" spans="3:14" x14ac:dyDescent="0.45">
      <c r="C34" s="3" t="s">
        <v>42</v>
      </c>
      <c r="D34" s="3" t="s">
        <v>43</v>
      </c>
      <c r="E34" s="3" t="s">
        <v>44</v>
      </c>
      <c r="F34" s="3" t="s">
        <v>45</v>
      </c>
      <c r="G34" s="3" t="s">
        <v>46</v>
      </c>
      <c r="H34" s="3" t="s">
        <v>6</v>
      </c>
    </row>
    <row r="35" spans="3:14" x14ac:dyDescent="0.45">
      <c r="C35" s="4">
        <f>+SLOPE(C7:C32,K7:K32)</f>
        <v>1.2398208626955942</v>
      </c>
      <c r="D35" s="4">
        <f>+SLOPE(D7:D32,M7:M32)</f>
        <v>1.0085245836607837</v>
      </c>
      <c r="E35" s="4">
        <f>+SLOPE(E7:E32,L7:L32)</f>
        <v>1.0253543553331874</v>
      </c>
      <c r="F35" s="4">
        <f>+SLOPE(F7:F32,L7:L32)</f>
        <v>0.87999719404728449</v>
      </c>
      <c r="G35" s="4">
        <f>+SLOPE(G7:G32,N7:N32)</f>
        <v>1.0364462480401231</v>
      </c>
      <c r="H35" s="4">
        <f>+SLOPE(H7:H32,J7:J32)</f>
        <v>1.1233592206051362</v>
      </c>
    </row>
    <row r="38" spans="3:14" x14ac:dyDescent="0.45">
      <c r="M38" s="45"/>
      <c r="N38" s="45"/>
    </row>
    <row r="39" spans="3:14" ht="18.75" customHeight="1" x14ac:dyDescent="0.45">
      <c r="C39" s="84" t="s">
        <v>82</v>
      </c>
      <c r="D39" s="84"/>
      <c r="E39" s="85" t="s">
        <v>83</v>
      </c>
      <c r="F39" s="85"/>
      <c r="G39" s="85"/>
      <c r="H39" s="84" t="s">
        <v>84</v>
      </c>
      <c r="I39" s="84"/>
      <c r="J39" s="84"/>
    </row>
    <row r="40" spans="3:14" ht="32.65" customHeight="1" x14ac:dyDescent="0.45">
      <c r="C40" s="20" t="s">
        <v>47</v>
      </c>
      <c r="D40" s="18">
        <v>10.8</v>
      </c>
      <c r="E40" s="80" t="s">
        <v>42</v>
      </c>
      <c r="F40" s="80"/>
      <c r="G40" s="21">
        <f>C35</f>
        <v>1.2398208626955942</v>
      </c>
      <c r="H40" s="80" t="s">
        <v>48</v>
      </c>
      <c r="I40" s="80"/>
      <c r="J40" s="21">
        <f>D40*G40</f>
        <v>13.390065317112418</v>
      </c>
      <c r="M40" s="46"/>
    </row>
    <row r="41" spans="3:14" ht="31.15" customHeight="1" x14ac:dyDescent="0.45">
      <c r="C41" s="20" t="s">
        <v>49</v>
      </c>
      <c r="D41" s="18">
        <v>4.9000000000000004</v>
      </c>
      <c r="E41" s="80" t="s">
        <v>50</v>
      </c>
      <c r="F41" s="80"/>
      <c r="G41" s="21">
        <f>E35</f>
        <v>1.0253543553331874</v>
      </c>
      <c r="H41" s="80" t="s">
        <v>51</v>
      </c>
      <c r="I41" s="80"/>
      <c r="J41" s="21">
        <f>D41*G41</f>
        <v>5.0242363411326183</v>
      </c>
    </row>
    <row r="42" spans="3:14" ht="23.65" customHeight="1" x14ac:dyDescent="0.45">
      <c r="C42" s="22" t="s">
        <v>52</v>
      </c>
      <c r="D42" s="23">
        <v>13.4</v>
      </c>
      <c r="E42" s="80" t="s">
        <v>43</v>
      </c>
      <c r="F42" s="80"/>
      <c r="G42" s="21">
        <f>D35</f>
        <v>1.0085245836607837</v>
      </c>
      <c r="H42" s="80" t="s">
        <v>53</v>
      </c>
      <c r="I42" s="80"/>
      <c r="J42" s="21">
        <f>D42*G42</f>
        <v>13.514229421054502</v>
      </c>
    </row>
    <row r="43" spans="3:14" ht="27" customHeight="1" x14ac:dyDescent="0.45">
      <c r="C43" s="20" t="s">
        <v>54</v>
      </c>
      <c r="D43" s="18">
        <v>6.1</v>
      </c>
      <c r="E43" s="80" t="s">
        <v>55</v>
      </c>
      <c r="F43" s="80"/>
      <c r="G43" s="21">
        <f>G35</f>
        <v>1.0364462480401231</v>
      </c>
      <c r="H43" s="80" t="s">
        <v>56</v>
      </c>
      <c r="I43" s="80"/>
      <c r="J43" s="21">
        <f>D42*G43</f>
        <v>13.88837972373765</v>
      </c>
    </row>
    <row r="44" spans="3:14" ht="35.65" customHeight="1" x14ac:dyDescent="0.45">
      <c r="C44" s="20" t="s">
        <v>57</v>
      </c>
      <c r="D44" s="18">
        <v>4</v>
      </c>
      <c r="E44" s="80" t="s">
        <v>45</v>
      </c>
      <c r="F44" s="80"/>
      <c r="G44" s="21">
        <f>F35</f>
        <v>0.87999719404728449</v>
      </c>
      <c r="H44" s="80" t="s">
        <v>58</v>
      </c>
      <c r="I44" s="80"/>
      <c r="J44" s="21">
        <f>D41*G44</f>
        <v>4.3119862508316942</v>
      </c>
    </row>
    <row r="47" spans="3:14" x14ac:dyDescent="0.45">
      <c r="D47" s="45"/>
      <c r="E47" s="45"/>
    </row>
    <row r="48" spans="3:14" x14ac:dyDescent="0.45">
      <c r="E48" s="46"/>
    </row>
  </sheetData>
  <mergeCells count="16">
    <mergeCell ref="J5:N5"/>
    <mergeCell ref="B5:B6"/>
    <mergeCell ref="C39:D39"/>
    <mergeCell ref="E39:G39"/>
    <mergeCell ref="H39:J39"/>
    <mergeCell ref="E43:F43"/>
    <mergeCell ref="H43:I43"/>
    <mergeCell ref="E44:F44"/>
    <mergeCell ref="H44:I44"/>
    <mergeCell ref="C5:H5"/>
    <mergeCell ref="E40:F40"/>
    <mergeCell ref="H40:I40"/>
    <mergeCell ref="E41:F41"/>
    <mergeCell ref="H41:I41"/>
    <mergeCell ref="E42:F42"/>
    <mergeCell ref="H42:I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61F6-28CF-46AF-8F3A-15424DF4B33A}">
  <sheetPr>
    <tabColor rgb="FF0070C0"/>
  </sheetPr>
  <dimension ref="A2:H18"/>
  <sheetViews>
    <sheetView topLeftCell="D1" workbookViewId="0">
      <selection activeCell="F14" sqref="F14"/>
    </sheetView>
  </sheetViews>
  <sheetFormatPr defaultRowHeight="14.25" x14ac:dyDescent="0.45"/>
  <cols>
    <col min="1" max="1" width="9.06640625" style="10"/>
    <col min="2" max="2" width="13" style="10" customWidth="1"/>
    <col min="3" max="3" width="15.59765625" style="10" hidden="1" customWidth="1"/>
    <col min="4" max="4" width="17.265625" style="10" customWidth="1"/>
    <col min="5" max="5" width="14.33203125" style="10" bestFit="1" customWidth="1"/>
    <col min="6" max="6" width="19.265625" style="10" bestFit="1" customWidth="1"/>
    <col min="7" max="7" width="19" style="10" bestFit="1" customWidth="1"/>
    <col min="8" max="8" width="19.06640625" style="10" bestFit="1" customWidth="1"/>
    <col min="9" max="16384" width="9.06640625" style="10"/>
  </cols>
  <sheetData>
    <row r="2" spans="1:8" ht="34.5" customHeight="1" x14ac:dyDescent="0.45">
      <c r="B2" s="70" t="s">
        <v>116</v>
      </c>
      <c r="C2" s="71" t="s">
        <v>70</v>
      </c>
      <c r="D2" s="71" t="s">
        <v>71</v>
      </c>
      <c r="E2" s="71" t="s">
        <v>117</v>
      </c>
      <c r="F2" s="70" t="s">
        <v>114</v>
      </c>
      <c r="G2" s="70" t="s">
        <v>115</v>
      </c>
      <c r="H2" s="71" t="s">
        <v>118</v>
      </c>
    </row>
    <row r="3" spans="1:8" x14ac:dyDescent="0.45">
      <c r="B3" s="72" t="s">
        <v>42</v>
      </c>
      <c r="C3" s="73">
        <v>6902</v>
      </c>
      <c r="D3" s="73">
        <v>7826.1823081870989</v>
      </c>
      <c r="E3" s="73">
        <v>7329</v>
      </c>
      <c r="F3" s="74" t="s">
        <v>124</v>
      </c>
      <c r="G3" s="74" t="s">
        <v>125</v>
      </c>
      <c r="H3" s="74" t="s">
        <v>120</v>
      </c>
    </row>
    <row r="4" spans="1:8" x14ac:dyDescent="0.45">
      <c r="B4" s="72" t="s">
        <v>61</v>
      </c>
      <c r="C4" s="73">
        <v>1853.67</v>
      </c>
      <c r="D4" s="73">
        <v>1946.8027617846731</v>
      </c>
      <c r="E4" s="73" t="s">
        <v>121</v>
      </c>
      <c r="F4" s="75" t="s">
        <v>121</v>
      </c>
      <c r="G4" s="75" t="s">
        <v>121</v>
      </c>
      <c r="H4" s="75" t="s">
        <v>121</v>
      </c>
    </row>
    <row r="5" spans="1:8" x14ac:dyDescent="0.45">
      <c r="B5" s="72" t="s">
        <v>62</v>
      </c>
      <c r="C5" s="73">
        <v>2899.33</v>
      </c>
      <c r="D5" s="73">
        <v>3291.1521078734595</v>
      </c>
      <c r="E5" s="73" t="s">
        <v>121</v>
      </c>
      <c r="F5" s="75" t="s">
        <v>121</v>
      </c>
      <c r="G5" s="75" t="s">
        <v>121</v>
      </c>
      <c r="H5" s="75" t="s">
        <v>121</v>
      </c>
    </row>
    <row r="6" spans="1:8" x14ac:dyDescent="0.45">
      <c r="B6" s="72" t="s">
        <v>63</v>
      </c>
      <c r="C6" s="73">
        <v>4753</v>
      </c>
      <c r="D6" s="73">
        <v>5237.9548696581323</v>
      </c>
      <c r="E6" s="73">
        <v>4730</v>
      </c>
      <c r="F6" s="74" t="s">
        <v>128</v>
      </c>
      <c r="G6" s="74" t="s">
        <v>129</v>
      </c>
      <c r="H6" s="74" t="s">
        <v>119</v>
      </c>
    </row>
    <row r="7" spans="1:8" x14ac:dyDescent="0.45">
      <c r="B7" s="72" t="s">
        <v>46</v>
      </c>
      <c r="C7" s="73">
        <v>1588</v>
      </c>
      <c r="D7" s="73">
        <v>1808.5474700129539</v>
      </c>
      <c r="E7" s="73">
        <v>1592</v>
      </c>
      <c r="F7" s="74" t="s">
        <v>122</v>
      </c>
      <c r="G7" s="74" t="s">
        <v>123</v>
      </c>
      <c r="H7" s="74" t="s">
        <v>120</v>
      </c>
    </row>
    <row r="8" spans="1:8" x14ac:dyDescent="0.45">
      <c r="B8" s="72" t="s">
        <v>45</v>
      </c>
      <c r="C8" s="73">
        <v>888</v>
      </c>
      <c r="D8" s="73">
        <v>926.29043790738547</v>
      </c>
      <c r="E8" s="73">
        <v>1399</v>
      </c>
      <c r="F8" s="74" t="s">
        <v>126</v>
      </c>
      <c r="G8" s="74" t="s">
        <v>127</v>
      </c>
      <c r="H8" s="74" t="s">
        <v>120</v>
      </c>
    </row>
    <row r="9" spans="1:8" x14ac:dyDescent="0.45">
      <c r="B9" s="72" t="s">
        <v>64</v>
      </c>
      <c r="C9" s="73">
        <v>14131</v>
      </c>
      <c r="D9" s="73">
        <v>15798.975085765571</v>
      </c>
      <c r="E9" s="73">
        <v>15051</v>
      </c>
      <c r="F9" s="74" t="s">
        <v>130</v>
      </c>
      <c r="G9" s="74" t="s">
        <v>131</v>
      </c>
      <c r="H9" s="74"/>
    </row>
    <row r="10" spans="1:8" x14ac:dyDescent="0.45">
      <c r="B10" s="69"/>
    </row>
    <row r="11" spans="1:8" x14ac:dyDescent="0.45">
      <c r="E11" s="26"/>
      <c r="F11"/>
      <c r="G11"/>
      <c r="H11"/>
    </row>
    <row r="12" spans="1:8" x14ac:dyDescent="0.45">
      <c r="A12"/>
      <c r="E12" s="26"/>
      <c r="F12"/>
      <c r="G12"/>
      <c r="H12"/>
    </row>
    <row r="13" spans="1:8" x14ac:dyDescent="0.45">
      <c r="A13"/>
      <c r="E13" s="79"/>
      <c r="F13"/>
      <c r="G13"/>
      <c r="H13"/>
    </row>
    <row r="14" spans="1:8" x14ac:dyDescent="0.45">
      <c r="A14"/>
      <c r="E14" s="26"/>
      <c r="F14"/>
      <c r="G14"/>
      <c r="H14"/>
    </row>
    <row r="15" spans="1:8" x14ac:dyDescent="0.45">
      <c r="A15"/>
      <c r="E15" s="26"/>
      <c r="F15"/>
      <c r="G15"/>
      <c r="H15"/>
    </row>
    <row r="16" spans="1:8" x14ac:dyDescent="0.45">
      <c r="E16" s="26"/>
      <c r="F16"/>
      <c r="G16"/>
      <c r="H16"/>
    </row>
    <row r="17" spans="5:5" x14ac:dyDescent="0.45">
      <c r="E17" s="26"/>
    </row>
    <row r="18" spans="5:5" x14ac:dyDescent="0.45">
      <c r="E18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B557F-3F9F-4D8C-995A-637C604E5264}">
  <sheetPr>
    <tabColor rgb="FF0070C0"/>
  </sheetPr>
  <dimension ref="A1:R28"/>
  <sheetViews>
    <sheetView tabSelected="1" topLeftCell="A4" workbookViewId="0">
      <selection activeCell="A5" sqref="A5"/>
    </sheetView>
  </sheetViews>
  <sheetFormatPr defaultRowHeight="14.25" x14ac:dyDescent="0.45"/>
  <cols>
    <col min="2" max="2" width="29.86328125" customWidth="1"/>
    <col min="3" max="3" width="12.33203125" customWidth="1"/>
    <col min="4" max="4" width="13.53125" customWidth="1"/>
    <col min="5" max="5" width="12.3984375" customWidth="1"/>
    <col min="6" max="6" width="11.6640625" customWidth="1"/>
    <col min="7" max="7" width="11.73046875" customWidth="1"/>
    <col min="8" max="8" width="11.53125" customWidth="1"/>
    <col min="9" max="9" width="9.59765625" bestFit="1" customWidth="1"/>
  </cols>
  <sheetData>
    <row r="1" spans="1:18" ht="18" x14ac:dyDescent="0.55000000000000004">
      <c r="A1" s="49" t="s">
        <v>87</v>
      </c>
    </row>
    <row r="5" spans="1:18" ht="26.25" x14ac:dyDescent="0.45">
      <c r="B5" s="86" t="s">
        <v>74</v>
      </c>
      <c r="C5" s="33" t="s">
        <v>2</v>
      </c>
      <c r="D5" s="33" t="s">
        <v>3</v>
      </c>
      <c r="E5" s="33" t="s">
        <v>77</v>
      </c>
      <c r="F5" s="33" t="s">
        <v>76</v>
      </c>
      <c r="G5" s="33" t="s">
        <v>4</v>
      </c>
      <c r="H5" s="33" t="s">
        <v>5</v>
      </c>
      <c r="I5" s="33" t="s">
        <v>6</v>
      </c>
    </row>
    <row r="6" spans="1:18" x14ac:dyDescent="0.45">
      <c r="B6" s="86"/>
      <c r="C6" s="35">
        <v>6755478</v>
      </c>
      <c r="D6" s="41">
        <v>2640955</v>
      </c>
      <c r="E6" s="35">
        <v>1688480</v>
      </c>
      <c r="F6" s="35">
        <v>4329435</v>
      </c>
      <c r="G6" s="41">
        <v>839352</v>
      </c>
      <c r="H6" s="41">
        <v>1309059</v>
      </c>
      <c r="I6" s="35">
        <v>13233324</v>
      </c>
    </row>
    <row r="7" spans="1:18" x14ac:dyDescent="0.45">
      <c r="B7" s="66"/>
      <c r="C7" s="67"/>
      <c r="D7" s="68"/>
      <c r="E7" s="67"/>
      <c r="F7" s="67"/>
      <c r="G7" s="68"/>
      <c r="H7" s="68"/>
      <c r="I7" s="67"/>
      <c r="L7" s="26"/>
      <c r="M7" s="26"/>
      <c r="N7" s="26"/>
      <c r="O7" s="26"/>
      <c r="P7" s="26"/>
      <c r="Q7" s="26"/>
      <c r="R7" s="26"/>
    </row>
    <row r="8" spans="1:18" x14ac:dyDescent="0.45">
      <c r="B8" s="10"/>
      <c r="C8" s="10"/>
      <c r="D8" s="10"/>
      <c r="E8" s="10"/>
      <c r="F8" s="10"/>
      <c r="G8" s="10"/>
      <c r="H8" s="10"/>
      <c r="I8" s="11" t="s">
        <v>65</v>
      </c>
    </row>
    <row r="9" spans="1:18" x14ac:dyDescent="0.45">
      <c r="B9" s="47"/>
      <c r="C9" s="47" t="s">
        <v>42</v>
      </c>
      <c r="D9" s="47" t="s">
        <v>61</v>
      </c>
      <c r="E9" s="47" t="s">
        <v>62</v>
      </c>
      <c r="F9" s="47" t="s">
        <v>63</v>
      </c>
      <c r="G9" s="47" t="s">
        <v>46</v>
      </c>
      <c r="H9" s="47" t="s">
        <v>45</v>
      </c>
      <c r="I9" s="47" t="s">
        <v>64</v>
      </c>
    </row>
    <row r="10" spans="1:18" ht="31.9" customHeight="1" x14ac:dyDescent="0.45">
      <c r="B10" s="19" t="s">
        <v>70</v>
      </c>
      <c r="C10" s="6">
        <f>'Sensitivity Analysis'!C6/1000</f>
        <v>6755.4780000000001</v>
      </c>
      <c r="D10" s="7">
        <f>'Sensitivity Analysis'!E6/1000</f>
        <v>1688.48</v>
      </c>
      <c r="E10" s="7">
        <f>'Sensitivity Analysis'!D6/1000</f>
        <v>2640.9549999999999</v>
      </c>
      <c r="F10" s="7">
        <f>SUM(D10:E10)</f>
        <v>4329.4349999999995</v>
      </c>
      <c r="G10" s="6">
        <f>H6/1000</f>
        <v>1309.059</v>
      </c>
      <c r="H10" s="6">
        <f>G6/1000</f>
        <v>839.35199999999998</v>
      </c>
      <c r="I10" s="6">
        <f>I6/1000</f>
        <v>13233.324000000001</v>
      </c>
    </row>
    <row r="11" spans="1:18" ht="29.65" customHeight="1" x14ac:dyDescent="0.45">
      <c r="B11" s="19" t="s">
        <v>59</v>
      </c>
      <c r="C11" s="7">
        <f>C10*('Tax Buoyancy Estimates'!J40/100)</f>
        <v>904.56291668315964</v>
      </c>
      <c r="D11" s="8">
        <f>D10*('Tax Buoyancy Estimates'!J41/100)</f>
        <v>84.833225772756023</v>
      </c>
      <c r="E11" s="8">
        <f>E10*('Tax Buoyancy Estimates'!J42/100)</f>
        <v>356.90471760680992</v>
      </c>
      <c r="F11" s="8">
        <f>SUM(D11:E11)</f>
        <v>441.73794337956593</v>
      </c>
      <c r="G11" s="7">
        <f>G10*('Tax Buoyancy Estimates'!J43/100)</f>
        <v>181.80708472776286</v>
      </c>
      <c r="H11" s="9">
        <f>H10*('Tax Buoyancy Estimates'!J44/100)</f>
        <v>36.192742836080839</v>
      </c>
      <c r="I11" s="8">
        <f>SUM(C11,F11,G11,H11)</f>
        <v>1564.3006876265695</v>
      </c>
    </row>
    <row r="12" spans="1:18" ht="34.5" customHeight="1" x14ac:dyDescent="0.45">
      <c r="B12" s="19" t="s">
        <v>71</v>
      </c>
      <c r="C12" s="7">
        <f t="shared" ref="C12:H12" si="0">C10+C11</f>
        <v>7660.0409166831596</v>
      </c>
      <c r="D12" s="7">
        <f t="shared" si="0"/>
        <v>1773.3132257727561</v>
      </c>
      <c r="E12" s="7">
        <f t="shared" si="0"/>
        <v>2997.8597176068097</v>
      </c>
      <c r="F12" s="7">
        <f>F10+F11</f>
        <v>4771.1729433795654</v>
      </c>
      <c r="G12" s="7">
        <f t="shared" si="0"/>
        <v>1490.8660847277629</v>
      </c>
      <c r="H12" s="7">
        <f t="shared" si="0"/>
        <v>875.54474283608079</v>
      </c>
      <c r="I12" s="7">
        <f>I10+I11</f>
        <v>14797.62468762657</v>
      </c>
    </row>
    <row r="13" spans="1:18" ht="28.5" x14ac:dyDescent="0.45">
      <c r="B13" s="19" t="s">
        <v>60</v>
      </c>
      <c r="C13" s="4">
        <f>'Tax Buoyancy Estimates'!J40</f>
        <v>13.390065317112418</v>
      </c>
      <c r="D13" s="4">
        <f>'Tax Buoyancy Estimates'!J41</f>
        <v>5.0242363411326183</v>
      </c>
      <c r="E13" s="4">
        <f>'Tax Buoyancy Estimates'!J42</f>
        <v>13.514229421054502</v>
      </c>
      <c r="F13" s="4">
        <f>SUM(D13:E13)</f>
        <v>18.538465762187119</v>
      </c>
      <c r="G13" s="4">
        <f>'Tax Buoyancy Estimates'!J43</f>
        <v>13.88837972373765</v>
      </c>
      <c r="H13" s="4">
        <f>'Tax Buoyancy Estimates'!J44</f>
        <v>4.3119862508316942</v>
      </c>
      <c r="I13" s="4">
        <f>SUM(C13,F13,G13,H13)</f>
        <v>50.128897053868883</v>
      </c>
    </row>
    <row r="14" spans="1:18" x14ac:dyDescent="0.45">
      <c r="B14" s="10"/>
      <c r="C14" s="10"/>
      <c r="D14" s="10"/>
      <c r="E14" s="10"/>
      <c r="F14" s="10"/>
      <c r="G14" s="10"/>
      <c r="H14" s="10"/>
      <c r="I14" s="10"/>
    </row>
    <row r="15" spans="1:18" x14ac:dyDescent="0.45">
      <c r="B15" s="10"/>
      <c r="C15" s="10"/>
      <c r="D15" s="10"/>
      <c r="E15" s="10"/>
      <c r="F15" s="10"/>
      <c r="G15" s="10"/>
      <c r="H15" s="10"/>
      <c r="I15" s="10"/>
    </row>
    <row r="16" spans="1:18" x14ac:dyDescent="0.45">
      <c r="B16" s="10"/>
      <c r="C16" s="10"/>
      <c r="D16" s="10"/>
      <c r="E16" s="10"/>
      <c r="F16" s="10"/>
      <c r="G16" s="10"/>
      <c r="H16" s="10"/>
      <c r="I16" s="10"/>
    </row>
    <row r="17" spans="2:9" x14ac:dyDescent="0.45">
      <c r="B17" s="10"/>
      <c r="C17" s="10"/>
      <c r="D17" s="10"/>
      <c r="E17" s="10"/>
      <c r="F17" s="10"/>
      <c r="G17" s="10"/>
      <c r="H17" s="10"/>
      <c r="I17" s="10"/>
    </row>
    <row r="18" spans="2:9" x14ac:dyDescent="0.45">
      <c r="B18" s="11" t="s">
        <v>66</v>
      </c>
      <c r="C18" s="10"/>
      <c r="D18" s="10"/>
      <c r="E18" s="10"/>
      <c r="F18" s="10"/>
      <c r="G18" s="10"/>
      <c r="H18" s="10"/>
      <c r="I18" s="10"/>
    </row>
    <row r="19" spans="2:9" ht="18.399999999999999" customHeight="1" x14ac:dyDescent="0.45">
      <c r="B19" s="48" t="s">
        <v>68</v>
      </c>
      <c r="C19" s="47" t="s">
        <v>42</v>
      </c>
      <c r="D19" s="47" t="s">
        <v>61</v>
      </c>
      <c r="E19" s="47" t="s">
        <v>62</v>
      </c>
      <c r="F19" s="47" t="s">
        <v>63</v>
      </c>
      <c r="G19" s="47" t="s">
        <v>46</v>
      </c>
      <c r="H19" s="47" t="s">
        <v>45</v>
      </c>
      <c r="I19" s="47" t="s">
        <v>64</v>
      </c>
    </row>
    <row r="20" spans="2:9" ht="24.75" customHeight="1" x14ac:dyDescent="0.45">
      <c r="B20" s="24" t="s">
        <v>73</v>
      </c>
      <c r="C20" s="7">
        <f t="shared" ref="C20:I20" si="1">C10</f>
        <v>6755.4780000000001</v>
      </c>
      <c r="D20" s="7">
        <f t="shared" si="1"/>
        <v>1688.48</v>
      </c>
      <c r="E20" s="7">
        <f t="shared" si="1"/>
        <v>2640.9549999999999</v>
      </c>
      <c r="F20" s="7">
        <f t="shared" si="1"/>
        <v>4329.4349999999995</v>
      </c>
      <c r="G20" s="7">
        <f t="shared" si="1"/>
        <v>1309.059</v>
      </c>
      <c r="H20" s="7">
        <f t="shared" si="1"/>
        <v>839.35199999999998</v>
      </c>
      <c r="I20" s="7">
        <f t="shared" si="1"/>
        <v>13233.324000000001</v>
      </c>
    </row>
    <row r="21" spans="2:9" ht="29.25" customHeight="1" x14ac:dyDescent="0.45">
      <c r="B21" s="24" t="s">
        <v>67</v>
      </c>
      <c r="C21" s="7">
        <f t="shared" ref="C21:I21" si="2">C13*0.9</f>
        <v>12.051058785401176</v>
      </c>
      <c r="D21" s="7">
        <f t="shared" si="2"/>
        <v>4.5218127070193566</v>
      </c>
      <c r="E21" s="7">
        <f t="shared" si="2"/>
        <v>12.162806478949053</v>
      </c>
      <c r="F21" s="7">
        <f t="shared" si="2"/>
        <v>16.684619185968408</v>
      </c>
      <c r="G21" s="7">
        <f t="shared" si="2"/>
        <v>12.499541751363886</v>
      </c>
      <c r="H21" s="7">
        <f t="shared" si="2"/>
        <v>3.8807876257485248</v>
      </c>
      <c r="I21" s="7">
        <f t="shared" si="2"/>
        <v>45.116007348481993</v>
      </c>
    </row>
    <row r="22" spans="2:9" ht="49.15" customHeight="1" x14ac:dyDescent="0.45">
      <c r="B22" s="24" t="s">
        <v>72</v>
      </c>
      <c r="C22" s="7">
        <f>C20*(1+(C21/100))</f>
        <v>7569.5846250148443</v>
      </c>
      <c r="D22" s="7"/>
      <c r="E22" s="7"/>
      <c r="F22" s="7">
        <f>F20*(1+(F21/100))</f>
        <v>5051.7847426540311</v>
      </c>
      <c r="G22" s="7">
        <f>G20*(1+(G21/100))</f>
        <v>1472.6853762549867</v>
      </c>
      <c r="H22" s="7">
        <f>H20*(1+(H21/100))</f>
        <v>871.92546855247281</v>
      </c>
      <c r="I22" s="7">
        <f>I20*(1+(I21/100))</f>
        <v>19203.671428288431</v>
      </c>
    </row>
    <row r="23" spans="2:9" x14ac:dyDescent="0.45">
      <c r="B23" s="10"/>
      <c r="C23" s="10"/>
      <c r="D23" s="10"/>
      <c r="E23" s="10"/>
      <c r="F23" s="10"/>
      <c r="G23" s="10"/>
      <c r="H23" s="10"/>
      <c r="I23" s="10"/>
    </row>
    <row r="24" spans="2:9" x14ac:dyDescent="0.45">
      <c r="B24" s="10"/>
      <c r="C24" s="10"/>
      <c r="D24" s="10"/>
      <c r="E24" s="10"/>
      <c r="F24" s="10"/>
      <c r="G24" s="10"/>
      <c r="H24" s="10"/>
      <c r="I24" s="10"/>
    </row>
    <row r="25" spans="2:9" ht="19.899999999999999" customHeight="1" x14ac:dyDescent="0.45">
      <c r="B25" s="48" t="s">
        <v>81</v>
      </c>
      <c r="C25" s="47" t="s">
        <v>42</v>
      </c>
      <c r="D25" s="47" t="s">
        <v>61</v>
      </c>
      <c r="E25" s="47" t="s">
        <v>62</v>
      </c>
      <c r="F25" s="47" t="s">
        <v>63</v>
      </c>
      <c r="G25" s="47" t="s">
        <v>46</v>
      </c>
      <c r="H25" s="47" t="s">
        <v>45</v>
      </c>
      <c r="I25" s="47" t="s">
        <v>64</v>
      </c>
    </row>
    <row r="26" spans="2:9" ht="34.25" customHeight="1" x14ac:dyDescent="0.45">
      <c r="B26" s="24" t="s">
        <v>73</v>
      </c>
      <c r="C26" s="7">
        <f t="shared" ref="C26:I26" si="3">C10</f>
        <v>6755.4780000000001</v>
      </c>
      <c r="D26" s="7">
        <f t="shared" si="3"/>
        <v>1688.48</v>
      </c>
      <c r="E26" s="7">
        <f t="shared" si="3"/>
        <v>2640.9549999999999</v>
      </c>
      <c r="F26" s="7">
        <f t="shared" si="3"/>
        <v>4329.4349999999995</v>
      </c>
      <c r="G26" s="7">
        <f t="shared" si="3"/>
        <v>1309.059</v>
      </c>
      <c r="H26" s="7">
        <f t="shared" si="3"/>
        <v>839.35199999999998</v>
      </c>
      <c r="I26" s="7">
        <f t="shared" si="3"/>
        <v>13233.324000000001</v>
      </c>
    </row>
    <row r="27" spans="2:9" ht="33.75" customHeight="1" x14ac:dyDescent="0.45">
      <c r="B27" s="24" t="s">
        <v>67</v>
      </c>
      <c r="C27" s="7">
        <f t="shared" ref="C27:I27" si="4">C13*1.1</f>
        <v>14.729071848823661</v>
      </c>
      <c r="D27" s="7">
        <f t="shared" si="4"/>
        <v>5.5266599752458809</v>
      </c>
      <c r="E27" s="7">
        <f t="shared" si="4"/>
        <v>14.865652363159953</v>
      </c>
      <c r="F27" s="7">
        <f t="shared" si="4"/>
        <v>20.392312338405834</v>
      </c>
      <c r="G27" s="7">
        <f t="shared" si="4"/>
        <v>15.277217696111416</v>
      </c>
      <c r="H27" s="7">
        <f t="shared" si="4"/>
        <v>4.7431848759148636</v>
      </c>
      <c r="I27" s="7">
        <f t="shared" si="4"/>
        <v>55.141786759255773</v>
      </c>
    </row>
    <row r="28" spans="2:9" ht="33.4" customHeight="1" x14ac:dyDescent="0.45">
      <c r="B28" s="24" t="s">
        <v>72</v>
      </c>
      <c r="C28" s="7">
        <f>C26*(1+(C27/100))</f>
        <v>7750.4972083514758</v>
      </c>
      <c r="D28" s="7"/>
      <c r="E28" s="7"/>
      <c r="F28" s="7">
        <f>F26*(1+(F27/100))</f>
        <v>5212.3069076882603</v>
      </c>
      <c r="G28" s="7">
        <f>G26*(1+(G27/100))</f>
        <v>1509.046793200539</v>
      </c>
      <c r="H28" s="7">
        <f>H26*(1+(H27/100))</f>
        <v>879.16401711968899</v>
      </c>
      <c r="I28" s="7">
        <f>I26*(1+(I27/100))</f>
        <v>20530.415301241417</v>
      </c>
    </row>
  </sheetData>
  <mergeCells count="1">
    <mergeCell ref="B5:B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58505-2B29-4DDF-99D9-77443011CF4A}">
  <sheetPr>
    <tabColor rgb="FF0070C0"/>
  </sheetPr>
  <dimension ref="D1:J25"/>
  <sheetViews>
    <sheetView topLeftCell="D10" workbookViewId="0">
      <selection activeCell="H25" sqref="H25"/>
    </sheetView>
  </sheetViews>
  <sheetFormatPr defaultRowHeight="14.25" x14ac:dyDescent="0.45"/>
  <cols>
    <col min="4" max="4" width="38.33203125" customWidth="1"/>
  </cols>
  <sheetData>
    <row r="1" spans="4:10" ht="14.65" thickBot="1" x14ac:dyDescent="0.5"/>
    <row r="2" spans="4:10" ht="14.65" thickBot="1" x14ac:dyDescent="0.5">
      <c r="D2" s="90" t="s">
        <v>88</v>
      </c>
      <c r="E2" s="50" t="s">
        <v>37</v>
      </c>
      <c r="F2" s="50" t="s">
        <v>38</v>
      </c>
      <c r="G2" s="51" t="s">
        <v>75</v>
      </c>
      <c r="H2" s="51" t="s">
        <v>89</v>
      </c>
      <c r="I2" s="51" t="s">
        <v>90</v>
      </c>
      <c r="J2" s="52" t="s">
        <v>91</v>
      </c>
    </row>
    <row r="3" spans="4:10" ht="14.65" thickBot="1" x14ac:dyDescent="0.5">
      <c r="D3" s="91"/>
      <c r="E3" s="53" t="s">
        <v>92</v>
      </c>
      <c r="F3" s="54" t="s">
        <v>93</v>
      </c>
      <c r="G3" s="92" t="s">
        <v>94</v>
      </c>
      <c r="H3" s="93"/>
      <c r="I3" s="93"/>
      <c r="J3" s="94"/>
    </row>
    <row r="4" spans="4:10" ht="14.65" thickBot="1" x14ac:dyDescent="0.5">
      <c r="D4" s="95"/>
      <c r="E4" s="96"/>
      <c r="F4" s="96"/>
      <c r="G4" s="96"/>
      <c r="H4" s="96"/>
      <c r="I4" s="96"/>
      <c r="J4" s="97"/>
    </row>
    <row r="5" spans="4:10" ht="14.65" customHeight="1" thickBot="1" x14ac:dyDescent="0.5">
      <c r="D5" s="87" t="s">
        <v>95</v>
      </c>
      <c r="E5" s="88"/>
      <c r="F5" s="88"/>
      <c r="G5" s="88"/>
      <c r="H5" s="88"/>
      <c r="I5" s="88"/>
      <c r="J5" s="89"/>
    </row>
    <row r="6" spans="4:10" ht="14.65" thickBot="1" x14ac:dyDescent="0.5">
      <c r="D6" s="55" t="s">
        <v>96</v>
      </c>
      <c r="E6" s="56">
        <v>2.6</v>
      </c>
      <c r="F6" s="56">
        <v>3.1</v>
      </c>
      <c r="G6" s="56">
        <v>4</v>
      </c>
      <c r="H6" s="77">
        <v>5.0999999999999996</v>
      </c>
      <c r="I6" s="56">
        <v>5.6</v>
      </c>
      <c r="J6" s="56">
        <v>5.8</v>
      </c>
    </row>
    <row r="7" spans="4:10" ht="14.65" thickBot="1" x14ac:dyDescent="0.5">
      <c r="D7" s="57" t="s">
        <v>97</v>
      </c>
      <c r="E7" s="58">
        <v>0.9</v>
      </c>
      <c r="F7" s="58">
        <v>-0.7</v>
      </c>
      <c r="G7" s="58">
        <v>4.9000000000000004</v>
      </c>
      <c r="H7" s="78">
        <v>6.8</v>
      </c>
      <c r="I7" s="58">
        <v>7.1</v>
      </c>
      <c r="J7" s="58">
        <v>8</v>
      </c>
    </row>
    <row r="8" spans="4:10" ht="14.65" thickBot="1" x14ac:dyDescent="0.5">
      <c r="D8" s="59" t="s">
        <v>98</v>
      </c>
      <c r="E8" s="60">
        <v>23.4</v>
      </c>
      <c r="F8" s="60">
        <v>4.5</v>
      </c>
      <c r="G8" s="60">
        <v>6.1</v>
      </c>
      <c r="H8" s="78">
        <v>6.5</v>
      </c>
      <c r="I8" s="60">
        <v>6.5</v>
      </c>
      <c r="J8" s="60">
        <v>6.7</v>
      </c>
    </row>
    <row r="9" spans="4:10" ht="14.65" thickBot="1" x14ac:dyDescent="0.5">
      <c r="D9" s="57" t="s">
        <v>99</v>
      </c>
      <c r="E9" s="61">
        <v>105379</v>
      </c>
      <c r="F9" s="61">
        <v>113935</v>
      </c>
      <c r="G9" s="61">
        <v>126195</v>
      </c>
      <c r="H9" s="76">
        <v>141663</v>
      </c>
      <c r="I9" s="61">
        <v>159245</v>
      </c>
      <c r="J9" s="61">
        <v>178969</v>
      </c>
    </row>
    <row r="10" spans="4:10" ht="14.65" thickBot="1" x14ac:dyDescent="0.5">
      <c r="D10" s="59" t="s">
        <v>100</v>
      </c>
      <c r="E10" s="60">
        <v>25.9</v>
      </c>
      <c r="F10" s="60">
        <v>8.1</v>
      </c>
      <c r="G10" s="60">
        <v>10.8</v>
      </c>
      <c r="H10" s="78">
        <v>12.3</v>
      </c>
      <c r="I10" s="60">
        <v>12.4</v>
      </c>
      <c r="J10" s="60">
        <v>12.4</v>
      </c>
    </row>
    <row r="11" spans="4:10" ht="14.65" customHeight="1" thickBot="1" x14ac:dyDescent="0.5">
      <c r="D11" s="87" t="s">
        <v>101</v>
      </c>
      <c r="E11" s="88"/>
      <c r="F11" s="88"/>
      <c r="G11" s="88"/>
      <c r="H11" s="88"/>
      <c r="I11" s="88"/>
      <c r="J11" s="89"/>
    </row>
    <row r="12" spans="4:10" ht="14.65" thickBot="1" x14ac:dyDescent="0.5">
      <c r="D12" s="59" t="s">
        <v>102</v>
      </c>
      <c r="E12" s="62">
        <v>-2072</v>
      </c>
      <c r="F12" s="63">
        <v>1932</v>
      </c>
      <c r="G12" s="63">
        <v>-2119</v>
      </c>
      <c r="H12" s="76">
        <v>-1986</v>
      </c>
      <c r="I12" s="63">
        <v>-3552</v>
      </c>
      <c r="J12" s="63">
        <v>-4803</v>
      </c>
    </row>
    <row r="13" spans="4:10" ht="14.65" thickBot="1" x14ac:dyDescent="0.5">
      <c r="D13" s="57" t="s">
        <v>103</v>
      </c>
      <c r="E13" s="64">
        <v>-0.6</v>
      </c>
      <c r="F13" s="64">
        <v>0.5</v>
      </c>
      <c r="G13" s="64">
        <v>-0.5</v>
      </c>
      <c r="H13" s="77">
        <v>-0.4</v>
      </c>
      <c r="I13" s="64">
        <v>-0.7</v>
      </c>
      <c r="J13" s="64">
        <v>-0.8</v>
      </c>
    </row>
    <row r="14" spans="4:10" ht="14.65" thickBot="1" x14ac:dyDescent="0.5">
      <c r="D14" s="59" t="s">
        <v>104</v>
      </c>
      <c r="E14" s="62">
        <v>30980</v>
      </c>
      <c r="F14" s="63">
        <v>32340</v>
      </c>
      <c r="G14" s="63">
        <v>34005</v>
      </c>
      <c r="H14" s="76">
        <v>37452</v>
      </c>
      <c r="I14" s="63">
        <v>41387</v>
      </c>
      <c r="J14" s="63">
        <v>45935</v>
      </c>
    </row>
    <row r="15" spans="4:10" ht="14.65" thickBot="1" x14ac:dyDescent="0.5">
      <c r="D15" s="57" t="s">
        <v>105</v>
      </c>
      <c r="E15" s="65">
        <v>53157</v>
      </c>
      <c r="F15" s="61">
        <v>59111</v>
      </c>
      <c r="G15" s="61">
        <v>65298</v>
      </c>
      <c r="H15" s="76">
        <v>70647</v>
      </c>
      <c r="I15" s="61">
        <v>77626</v>
      </c>
      <c r="J15" s="61">
        <v>85547</v>
      </c>
    </row>
    <row r="16" spans="4:10" ht="14.65" thickBot="1" x14ac:dyDescent="0.5">
      <c r="D16" s="59" t="s">
        <v>106</v>
      </c>
      <c r="E16" s="62">
        <v>7691</v>
      </c>
      <c r="F16" s="63">
        <v>8408</v>
      </c>
      <c r="G16" s="63">
        <v>8501</v>
      </c>
      <c r="H16" s="76">
        <v>9422</v>
      </c>
      <c r="I16" s="63">
        <v>10412</v>
      </c>
      <c r="J16" s="63">
        <v>11556</v>
      </c>
    </row>
    <row r="17" spans="4:10" ht="14.65" thickBot="1" x14ac:dyDescent="0.5">
      <c r="D17" s="57" t="s">
        <v>107</v>
      </c>
      <c r="E17" s="65">
        <v>10801</v>
      </c>
      <c r="F17" s="61">
        <v>11053</v>
      </c>
      <c r="G17" s="61">
        <v>12438</v>
      </c>
      <c r="H17" s="76">
        <v>13457</v>
      </c>
      <c r="I17" s="61">
        <v>14786</v>
      </c>
      <c r="J17" s="61">
        <v>16295</v>
      </c>
    </row>
    <row r="18" spans="4:10" ht="14.65" thickBot="1" x14ac:dyDescent="0.5">
      <c r="D18" s="59" t="s">
        <v>108</v>
      </c>
      <c r="E18" s="62">
        <v>30251</v>
      </c>
      <c r="F18" s="63">
        <v>38299</v>
      </c>
      <c r="G18" s="63">
        <v>41491</v>
      </c>
      <c r="H18" s="76">
        <v>43854</v>
      </c>
      <c r="I18" s="63">
        <v>45914</v>
      </c>
      <c r="J18" s="63">
        <v>47905</v>
      </c>
    </row>
    <row r="19" spans="4:10" ht="14.65" customHeight="1" thickBot="1" x14ac:dyDescent="0.5">
      <c r="D19" s="87" t="s">
        <v>109</v>
      </c>
      <c r="E19" s="88"/>
      <c r="F19" s="88"/>
      <c r="G19" s="88"/>
      <c r="H19" s="88"/>
      <c r="I19" s="88"/>
      <c r="J19" s="89"/>
    </row>
    <row r="20" spans="4:10" ht="14.65" thickBot="1" x14ac:dyDescent="0.5">
      <c r="D20" s="59" t="s">
        <v>110</v>
      </c>
      <c r="E20" s="63">
        <v>8702</v>
      </c>
      <c r="F20" s="63">
        <v>8967</v>
      </c>
      <c r="G20" s="63">
        <v>9632</v>
      </c>
      <c r="H20" s="76">
        <v>10738</v>
      </c>
      <c r="I20" s="63">
        <v>12098</v>
      </c>
      <c r="J20" s="63">
        <v>13592</v>
      </c>
    </row>
    <row r="21" spans="4:10" ht="14.65" thickBot="1" x14ac:dyDescent="0.5">
      <c r="D21" s="57" t="s">
        <v>111</v>
      </c>
      <c r="E21" s="61">
        <v>14932</v>
      </c>
      <c r="F21" s="61">
        <v>16307</v>
      </c>
      <c r="G21" s="61">
        <v>18497</v>
      </c>
      <c r="H21" s="76">
        <v>20254</v>
      </c>
      <c r="I21" s="61">
        <v>22690</v>
      </c>
      <c r="J21" s="61">
        <v>25313</v>
      </c>
    </row>
    <row r="22" spans="4:10" ht="14.65" thickBot="1" x14ac:dyDescent="0.5">
      <c r="D22" s="59" t="s">
        <v>112</v>
      </c>
      <c r="E22" s="63">
        <v>2160</v>
      </c>
      <c r="F22" s="63">
        <v>2345</v>
      </c>
      <c r="G22" s="63">
        <v>2408</v>
      </c>
      <c r="H22" s="76">
        <v>2701</v>
      </c>
      <c r="I22" s="63">
        <v>3043</v>
      </c>
      <c r="J22" s="63">
        <v>3419</v>
      </c>
    </row>
    <row r="23" spans="4:10" ht="14.65" thickBot="1" x14ac:dyDescent="0.5">
      <c r="D23" s="57" t="s">
        <v>113</v>
      </c>
      <c r="E23" s="61">
        <v>3034</v>
      </c>
      <c r="F23" s="61">
        <v>3077</v>
      </c>
      <c r="G23" s="61">
        <v>3523</v>
      </c>
      <c r="H23" s="76">
        <v>3858</v>
      </c>
      <c r="I23" s="61">
        <v>4322</v>
      </c>
      <c r="J23" s="61">
        <v>4822</v>
      </c>
    </row>
    <row r="25" spans="4:10" x14ac:dyDescent="0.45">
      <c r="H25" s="27"/>
    </row>
  </sheetData>
  <mergeCells count="6">
    <mergeCell ref="D19:J19"/>
    <mergeCell ref="D2:D3"/>
    <mergeCell ref="G3:J3"/>
    <mergeCell ref="D4:J4"/>
    <mergeCell ref="D11:J11"/>
    <mergeCell ref="D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 Tax &amp; Tax Base</vt:lpstr>
      <vt:lpstr>Tax Buoyancy Estimates</vt:lpstr>
      <vt:lpstr>Econometric model Vs Buoyancy</vt:lpstr>
      <vt:lpstr>Sensitivity Analysis</vt:lpstr>
      <vt:lpstr>Macro Projection MOF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Ameenah Qureshi</dc:creator>
  <cp:lastModifiedBy>Ameenah Qureshi</cp:lastModifiedBy>
  <dcterms:created xsi:type="dcterms:W3CDTF">2026-01-17T19:51:07Z</dcterms:created>
  <dcterms:modified xsi:type="dcterms:W3CDTF">2026-03-24T03:52:40Z</dcterms:modified>
</cp:coreProperties>
</file>
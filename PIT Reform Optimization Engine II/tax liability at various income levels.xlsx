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akistan_Income_Tax_Slabs_app\"/>
    </mc:Choice>
  </mc:AlternateContent>
  <xr:revisionPtr revIDLastSave="0" documentId="13_ncr:1_{E5B99746-E461-48B7-9E12-4F86CC3C1E5E}" xr6:coauthVersionLast="47" xr6:coauthVersionMax="47" xr10:uidLastSave="{00000000-0000-0000-0000-000000000000}"/>
  <bookViews>
    <workbookView xWindow="-98" yWindow="-98" windowWidth="19396" windowHeight="10276" xr2:uid="{06C85C5A-A2A8-4782-86EF-5DBC665327C1}"/>
  </bookViews>
  <sheets>
    <sheet name="TOTAL TAX, ETR, CHANGE ETR" sheetId="1" r:id="rId1"/>
  </sheets>
  <definedNames>
    <definedName name="_xlnm._FilterDatabase" localSheetId="0" hidden="1">'TOTAL TAX, ETR, CHANGE ETR'!$A$1:$N$100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2" i="1"/>
  <c r="N162" i="1"/>
  <c r="L103" i="1"/>
  <c r="M103" i="1"/>
  <c r="N103" i="1"/>
  <c r="L104" i="1"/>
  <c r="M104" i="1"/>
  <c r="N104" i="1"/>
  <c r="L105" i="1"/>
  <c r="M105" i="1"/>
  <c r="N105" i="1"/>
  <c r="L106" i="1"/>
  <c r="M106" i="1"/>
  <c r="N106" i="1"/>
  <c r="L107" i="1"/>
  <c r="M107" i="1"/>
  <c r="N107" i="1"/>
  <c r="L108" i="1"/>
  <c r="M108" i="1"/>
  <c r="N108" i="1"/>
  <c r="L109" i="1"/>
  <c r="M109" i="1"/>
  <c r="N109" i="1"/>
  <c r="L110" i="1"/>
  <c r="M110" i="1"/>
  <c r="N110" i="1"/>
  <c r="L111" i="1"/>
  <c r="M111" i="1"/>
  <c r="N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L118" i="1"/>
  <c r="M118" i="1"/>
  <c r="N118" i="1"/>
  <c r="L119" i="1"/>
  <c r="M119" i="1"/>
  <c r="N119" i="1"/>
  <c r="L120" i="1"/>
  <c r="M120" i="1"/>
  <c r="N120" i="1"/>
  <c r="L121" i="1"/>
  <c r="M121" i="1"/>
  <c r="N121" i="1"/>
  <c r="L122" i="1"/>
  <c r="M122" i="1"/>
  <c r="N122" i="1"/>
  <c r="L123" i="1"/>
  <c r="M123" i="1"/>
  <c r="N123" i="1"/>
  <c r="L124" i="1"/>
  <c r="M124" i="1"/>
  <c r="N124" i="1"/>
  <c r="L125" i="1"/>
  <c r="M125" i="1"/>
  <c r="N125" i="1"/>
  <c r="L126" i="1"/>
  <c r="M126" i="1"/>
  <c r="N126" i="1"/>
  <c r="L127" i="1"/>
  <c r="M127" i="1"/>
  <c r="N127" i="1"/>
  <c r="L128" i="1"/>
  <c r="M128" i="1"/>
  <c r="N128" i="1"/>
  <c r="L129" i="1"/>
  <c r="M129" i="1"/>
  <c r="N129" i="1"/>
  <c r="L130" i="1"/>
  <c r="M130" i="1"/>
  <c r="N130" i="1"/>
  <c r="L131" i="1"/>
  <c r="M131" i="1"/>
  <c r="N131" i="1"/>
  <c r="L132" i="1"/>
  <c r="M132" i="1"/>
  <c r="N132" i="1"/>
  <c r="L133" i="1"/>
  <c r="M133" i="1"/>
  <c r="N133" i="1"/>
  <c r="L134" i="1"/>
  <c r="M134" i="1"/>
  <c r="N134" i="1"/>
  <c r="L135" i="1"/>
  <c r="M135" i="1"/>
  <c r="N135" i="1"/>
  <c r="L136" i="1"/>
  <c r="M136" i="1"/>
  <c r="N136" i="1"/>
  <c r="L137" i="1"/>
  <c r="M137" i="1"/>
  <c r="N137" i="1"/>
  <c r="L138" i="1"/>
  <c r="M138" i="1"/>
  <c r="N138" i="1"/>
  <c r="L139" i="1"/>
  <c r="M139" i="1"/>
  <c r="N139" i="1"/>
  <c r="L140" i="1"/>
  <c r="M140" i="1"/>
  <c r="N140" i="1"/>
  <c r="L141" i="1"/>
  <c r="M141" i="1"/>
  <c r="N141" i="1"/>
  <c r="L142" i="1"/>
  <c r="M142" i="1"/>
  <c r="N142" i="1"/>
  <c r="L143" i="1"/>
  <c r="M143" i="1"/>
  <c r="N143" i="1"/>
  <c r="L144" i="1"/>
  <c r="M144" i="1"/>
  <c r="N144" i="1"/>
  <c r="L145" i="1"/>
  <c r="M145" i="1"/>
  <c r="N145" i="1"/>
  <c r="L146" i="1"/>
  <c r="M146" i="1"/>
  <c r="N146" i="1"/>
  <c r="L147" i="1"/>
  <c r="M147" i="1"/>
  <c r="N147" i="1"/>
  <c r="L148" i="1"/>
  <c r="M148" i="1"/>
  <c r="N148" i="1"/>
  <c r="L149" i="1"/>
  <c r="M149" i="1"/>
  <c r="N149" i="1"/>
  <c r="L150" i="1"/>
  <c r="M150" i="1"/>
  <c r="N150" i="1"/>
  <c r="L151" i="1"/>
  <c r="M151" i="1"/>
  <c r="N151" i="1"/>
  <c r="L152" i="1"/>
  <c r="M152" i="1"/>
  <c r="N152" i="1"/>
  <c r="L153" i="1"/>
  <c r="M153" i="1"/>
  <c r="N153" i="1"/>
  <c r="L154" i="1"/>
  <c r="M154" i="1"/>
  <c r="N154" i="1"/>
  <c r="L155" i="1"/>
  <c r="M155" i="1"/>
  <c r="N155" i="1"/>
  <c r="L156" i="1"/>
  <c r="M156" i="1"/>
  <c r="N156" i="1"/>
  <c r="L157" i="1"/>
  <c r="M157" i="1"/>
  <c r="N157" i="1"/>
  <c r="L158" i="1"/>
  <c r="M158" i="1"/>
  <c r="N158" i="1"/>
  <c r="L159" i="1"/>
  <c r="M159" i="1"/>
  <c r="N159" i="1"/>
  <c r="L160" i="1"/>
  <c r="M160" i="1"/>
  <c r="N160" i="1"/>
  <c r="L161" i="1"/>
  <c r="M161" i="1"/>
  <c r="N161" i="1"/>
  <c r="L162" i="1"/>
  <c r="M162" i="1"/>
  <c r="N102" i="1"/>
  <c r="L102" i="1"/>
  <c r="M102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</calcChain>
</file>

<file path=xl/sharedStrings.xml><?xml version="1.0" encoding="utf-8"?>
<sst xmlns="http://schemas.openxmlformats.org/spreadsheetml/2006/main" count="183" uniqueCount="21">
  <si>
    <t>Annual Income</t>
  </si>
  <si>
    <t/>
  </si>
  <si>
    <t>TT_FY18</t>
  </si>
  <si>
    <t>TT_FY19</t>
  </si>
  <si>
    <t>TT_FY23</t>
  </si>
  <si>
    <t>TT_FY24</t>
  </si>
  <si>
    <t>ETR_FY18</t>
  </si>
  <si>
    <t>ETR_FY19</t>
  </si>
  <si>
    <t>ETR_FY23</t>
  </si>
  <si>
    <t>ETR_FY24</t>
  </si>
  <si>
    <t>CETR_FY18</t>
  </si>
  <si>
    <t>CETR_FY19</t>
  </si>
  <si>
    <t>CETR_FY23</t>
  </si>
  <si>
    <t>CETR_FY24</t>
  </si>
  <si>
    <t>Type_Tax</t>
  </si>
  <si>
    <t>Salaried</t>
  </si>
  <si>
    <t>MRT_2018</t>
  </si>
  <si>
    <t>MRT_2019</t>
  </si>
  <si>
    <t>MRT_2023</t>
  </si>
  <si>
    <t>MRT_2024</t>
  </si>
  <si>
    <t>Non_Salaried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</si>
</sst>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70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1" xfId="1" applyNumberFormat="1" applyFont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/>
    <xf numFmtId="170" fontId="0" fillId="4" borderId="1" xfId="2" applyNumberFormat="1" applyFont="1" applyFill="1" applyBorder="1" applyAlignment="1">
      <alignment horizontal="center" vertical="center"/>
    </xf>
    <xf numFmtId="170" fontId="0" fillId="3" borderId="1" xfId="2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70" fontId="0" fillId="4" borderId="2" xfId="2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Fill="1" applyBorder="1"/>
    <xf numFmtId="0" fontId="0" fillId="6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166C-6AEA-4D6D-ABC9-7B44F6E74657}">
  <dimension ref="A1:R162"/>
  <sheetViews>
    <sheetView tabSelected="1" workbookViewId="0">
      <pane xSplit="1" ySplit="1" topLeftCell="B65" activePane="bottomRight" state="frozen"/>
      <selection pane="topRight" activeCell="B1" sqref="B1"/>
      <selection pane="bottomLeft" activeCell="A2" sqref="A2"/>
      <selection pane="bottomRight" activeCell="E7" sqref="E7"/>
    </sheetView>
  </sheetViews>
  <sheetFormatPr defaultRowHeight="14.25" x14ac:dyDescent="0.45"/>
  <cols>
    <col min="2" max="2" width="12.59765625" bestFit="1" customWidth="1"/>
    <col min="3" max="6" width="13.59765625" bestFit="1" customWidth="1"/>
    <col min="7" max="7" width="11.796875" customWidth="1"/>
    <col min="8" max="8" width="11.9296875" customWidth="1"/>
    <col min="9" max="9" width="12.06640625" customWidth="1"/>
    <col min="10" max="10" width="10.86328125" customWidth="1"/>
    <col min="11" max="11" width="13.1328125" customWidth="1"/>
    <col min="12" max="12" width="9.53125" bestFit="1" customWidth="1"/>
    <col min="13" max="13" width="11.3984375" customWidth="1"/>
    <col min="14" max="14" width="11.6640625" customWidth="1"/>
  </cols>
  <sheetData>
    <row r="1" spans="1:18" x14ac:dyDescent="0.45">
      <c r="A1" s="8" t="s">
        <v>14</v>
      </c>
      <c r="B1" s="4" t="s">
        <v>0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11" t="s">
        <v>13</v>
      </c>
      <c r="O1" s="13" t="s">
        <v>16</v>
      </c>
      <c r="P1" s="13" t="s">
        <v>17</v>
      </c>
      <c r="Q1" s="13" t="s">
        <v>18</v>
      </c>
      <c r="R1" s="13" t="s">
        <v>19</v>
      </c>
    </row>
    <row r="2" spans="1:18" x14ac:dyDescent="0.45">
      <c r="A2" s="8" t="s">
        <v>15</v>
      </c>
      <c r="B2" s="1">
        <v>0</v>
      </c>
      <c r="C2" s="2">
        <v>0</v>
      </c>
      <c r="D2" s="2">
        <v>0</v>
      </c>
      <c r="E2" s="2">
        <v>0</v>
      </c>
      <c r="F2" s="2">
        <v>0</v>
      </c>
      <c r="G2" s="3" t="s">
        <v>1</v>
      </c>
      <c r="H2" s="3" t="s">
        <v>1</v>
      </c>
      <c r="I2" s="3" t="s">
        <v>1</v>
      </c>
      <c r="J2" s="3" t="s">
        <v>1</v>
      </c>
      <c r="K2" s="9">
        <v>0</v>
      </c>
      <c r="L2" s="9">
        <v>0</v>
      </c>
      <c r="M2" s="9">
        <v>0</v>
      </c>
      <c r="N2" s="12">
        <v>0</v>
      </c>
      <c r="O2" s="14">
        <f>IF(B2&lt;=1200000,0,IF(B2&lt;=2500000,0.05,  IF(B2&lt;=4000000,0.15, 0.2)))</f>
        <v>0</v>
      </c>
      <c r="P2" s="14">
        <f>IF(B2&lt;=1200000,0,IF(B2&lt;=2500000,0.05,IF(B2&lt;=4000000,0.15,IF(B2&lt;=8000000,0.2,0.25))))</f>
        <v>0</v>
      </c>
      <c r="Q2" s="14">
        <f>IF(B2&lt;=600000,0,IF(B2&lt;=1200000,0.025,IF(B2&lt;=2400000,0.125,IF(B2&lt;=3600000,0.225,IF(B2&lt;=6000000,0.275,0.35)))))</f>
        <v>0</v>
      </c>
      <c r="R2" s="14">
        <f>IF(B2&lt;=600000,0,IF(B2&lt;=1200000,0.05,IF(B2&lt;=2200000,0.15,IF(B2&lt;=3200000,0.25,IF(B2&lt;=4100000,0.3,0.35)))))</f>
        <v>0</v>
      </c>
    </row>
    <row r="3" spans="1:18" x14ac:dyDescent="0.45">
      <c r="A3" s="8" t="s">
        <v>15</v>
      </c>
      <c r="B3" s="1">
        <v>200000</v>
      </c>
      <c r="C3" s="2">
        <v>0</v>
      </c>
      <c r="D3" s="2">
        <v>0</v>
      </c>
      <c r="E3" s="2">
        <v>0</v>
      </c>
      <c r="F3" s="2">
        <v>0</v>
      </c>
      <c r="G3" s="10">
        <v>0</v>
      </c>
      <c r="H3" s="10">
        <v>0</v>
      </c>
      <c r="I3" s="10">
        <v>0</v>
      </c>
      <c r="J3" s="10">
        <v>0</v>
      </c>
      <c r="K3" s="9">
        <v>0</v>
      </c>
      <c r="L3" s="9">
        <v>0</v>
      </c>
      <c r="M3" s="9">
        <v>0</v>
      </c>
      <c r="N3" s="12">
        <v>0</v>
      </c>
      <c r="O3" s="14">
        <f t="shared" ref="O3:O66" si="0">IF(B3&lt;=1200000,0,IF(B3&lt;=2500000,0.05,  IF(B3&lt;=4000000,0.15, 0.2)))</f>
        <v>0</v>
      </c>
      <c r="P3" s="14">
        <f t="shared" ref="P3:P66" si="1">IF(B3&lt;=1200000,0,IF(B3&lt;=2500000,0.05,IF(B3&lt;=4000000,0.15,IF(B3&lt;=8000000,0.2,0.25))))</f>
        <v>0</v>
      </c>
      <c r="Q3" s="14">
        <f t="shared" ref="Q3:Q66" si="2">IF(B3&lt;=600000,0,IF(B3&lt;=1200000,0.025,IF(B3&lt;=2400000,0.125,IF(B3&lt;=3600000,0.225,IF(B3&lt;=6000000,0.275,0.35)))))</f>
        <v>0</v>
      </c>
      <c r="R3" s="14">
        <f t="shared" ref="R3:R66" si="3">IF(B3&lt;=600000,0,IF(B3&lt;=1200000,0.05,IF(B3&lt;=2200000,0.15,IF(B3&lt;=3200000,0.25,IF(B3&lt;=4100000,0.3,0.35)))))</f>
        <v>0</v>
      </c>
    </row>
    <row r="4" spans="1:18" x14ac:dyDescent="0.45">
      <c r="A4" s="8" t="s">
        <v>15</v>
      </c>
      <c r="B4" s="1">
        <v>400000</v>
      </c>
      <c r="C4" s="2">
        <v>0</v>
      </c>
      <c r="D4" s="2">
        <v>0</v>
      </c>
      <c r="E4" s="2">
        <v>0</v>
      </c>
      <c r="F4" s="2">
        <v>0</v>
      </c>
      <c r="G4" s="10">
        <v>0</v>
      </c>
      <c r="H4" s="10">
        <v>0</v>
      </c>
      <c r="I4" s="10">
        <v>0</v>
      </c>
      <c r="J4" s="10">
        <v>0</v>
      </c>
      <c r="K4" s="9">
        <v>0</v>
      </c>
      <c r="L4" s="9">
        <v>0</v>
      </c>
      <c r="M4" s="9">
        <v>0</v>
      </c>
      <c r="N4" s="12">
        <v>0</v>
      </c>
      <c r="O4" s="14">
        <f t="shared" si="0"/>
        <v>0</v>
      </c>
      <c r="P4" s="14">
        <f t="shared" si="1"/>
        <v>0</v>
      </c>
      <c r="Q4" s="14">
        <f t="shared" si="2"/>
        <v>0</v>
      </c>
      <c r="R4" s="14">
        <f t="shared" si="3"/>
        <v>0</v>
      </c>
    </row>
    <row r="5" spans="1:18" x14ac:dyDescent="0.45">
      <c r="A5" s="8" t="s">
        <v>15</v>
      </c>
      <c r="B5" s="1">
        <v>600000</v>
      </c>
      <c r="C5" s="2">
        <v>0</v>
      </c>
      <c r="D5" s="2">
        <v>0</v>
      </c>
      <c r="E5" s="2">
        <v>0</v>
      </c>
      <c r="F5" s="2">
        <v>0</v>
      </c>
      <c r="G5" s="10">
        <v>0</v>
      </c>
      <c r="H5" s="10">
        <v>0</v>
      </c>
      <c r="I5" s="10">
        <v>0</v>
      </c>
      <c r="J5" s="10">
        <v>0</v>
      </c>
      <c r="K5" s="9">
        <v>0</v>
      </c>
      <c r="L5" s="9">
        <v>0</v>
      </c>
      <c r="M5" s="9">
        <v>0</v>
      </c>
      <c r="N5" s="12">
        <v>0</v>
      </c>
      <c r="O5" s="14">
        <f t="shared" si="0"/>
        <v>0</v>
      </c>
      <c r="P5" s="14">
        <f t="shared" si="1"/>
        <v>0</v>
      </c>
      <c r="Q5" s="14">
        <f t="shared" si="2"/>
        <v>0</v>
      </c>
      <c r="R5" s="14">
        <f t="shared" si="3"/>
        <v>0</v>
      </c>
    </row>
    <row r="6" spans="1:18" x14ac:dyDescent="0.45">
      <c r="A6" s="8" t="s">
        <v>15</v>
      </c>
      <c r="B6" s="1">
        <v>800000</v>
      </c>
      <c r="C6" s="2">
        <v>0</v>
      </c>
      <c r="D6" s="2">
        <v>0</v>
      </c>
      <c r="E6" s="2">
        <v>5000</v>
      </c>
      <c r="F6" s="2">
        <v>10000</v>
      </c>
      <c r="G6" s="10">
        <v>0</v>
      </c>
      <c r="H6" s="10">
        <v>0</v>
      </c>
      <c r="I6" s="10">
        <v>6.2500000000000003E-3</v>
      </c>
      <c r="J6" s="10">
        <v>1.2500000000000001E-2</v>
      </c>
      <c r="K6" s="9">
        <v>0</v>
      </c>
      <c r="L6" s="9">
        <v>0</v>
      </c>
      <c r="M6" s="9">
        <v>6.2500000000000003E-3</v>
      </c>
      <c r="N6" s="12">
        <v>1.2500000000000001E-2</v>
      </c>
      <c r="O6" s="14">
        <f t="shared" si="0"/>
        <v>0</v>
      </c>
      <c r="P6" s="14">
        <f t="shared" si="1"/>
        <v>0</v>
      </c>
      <c r="Q6" s="14">
        <f t="shared" si="2"/>
        <v>2.5000000000000001E-2</v>
      </c>
      <c r="R6" s="14">
        <f t="shared" si="3"/>
        <v>0.05</v>
      </c>
    </row>
    <row r="7" spans="1:18" x14ac:dyDescent="0.45">
      <c r="A7" s="8" t="s">
        <v>15</v>
      </c>
      <c r="B7" s="1">
        <v>1000000</v>
      </c>
      <c r="C7" s="2">
        <v>0</v>
      </c>
      <c r="D7" s="2">
        <v>0</v>
      </c>
      <c r="E7" s="2">
        <v>10000</v>
      </c>
      <c r="F7" s="2">
        <v>20000</v>
      </c>
      <c r="G7" s="10">
        <v>0</v>
      </c>
      <c r="H7" s="10">
        <v>0</v>
      </c>
      <c r="I7" s="10">
        <v>0.01</v>
      </c>
      <c r="J7" s="10">
        <v>0.02</v>
      </c>
      <c r="K7" s="9">
        <v>0</v>
      </c>
      <c r="L7" s="9">
        <v>0</v>
      </c>
      <c r="M7" s="9">
        <v>3.7499999999999999E-3</v>
      </c>
      <c r="N7" s="12">
        <v>7.4999999999999997E-3</v>
      </c>
      <c r="O7" s="14">
        <f t="shared" si="0"/>
        <v>0</v>
      </c>
      <c r="P7" s="14">
        <f t="shared" si="1"/>
        <v>0</v>
      </c>
      <c r="Q7" s="14">
        <f t="shared" si="2"/>
        <v>2.5000000000000001E-2</v>
      </c>
      <c r="R7" s="14">
        <f t="shared" si="3"/>
        <v>0.05</v>
      </c>
    </row>
    <row r="8" spans="1:18" x14ac:dyDescent="0.45">
      <c r="A8" s="8" t="s">
        <v>15</v>
      </c>
      <c r="B8" s="1">
        <v>1200000</v>
      </c>
      <c r="C8" s="2">
        <v>0</v>
      </c>
      <c r="D8" s="2">
        <v>0</v>
      </c>
      <c r="E8" s="2">
        <v>15000</v>
      </c>
      <c r="F8" s="2">
        <v>30000</v>
      </c>
      <c r="G8" s="10">
        <v>0</v>
      </c>
      <c r="H8" s="10">
        <v>0</v>
      </c>
      <c r="I8" s="10">
        <v>1.2500000000000001E-2</v>
      </c>
      <c r="J8" s="10">
        <v>2.5000000000000001E-2</v>
      </c>
      <c r="K8" s="9">
        <v>0</v>
      </c>
      <c r="L8" s="9">
        <v>0</v>
      </c>
      <c r="M8" s="9">
        <v>2.5000000000000005E-3</v>
      </c>
      <c r="N8" s="12">
        <v>5.000000000000001E-3</v>
      </c>
      <c r="O8" s="14">
        <f t="shared" si="0"/>
        <v>0</v>
      </c>
      <c r="P8" s="14">
        <f t="shared" si="1"/>
        <v>0</v>
      </c>
      <c r="Q8" s="14">
        <f t="shared" si="2"/>
        <v>2.5000000000000001E-2</v>
      </c>
      <c r="R8" s="14">
        <f t="shared" si="3"/>
        <v>0.05</v>
      </c>
    </row>
    <row r="9" spans="1:18" x14ac:dyDescent="0.45">
      <c r="A9" s="8" t="s">
        <v>15</v>
      </c>
      <c r="B9" s="1">
        <v>1400000</v>
      </c>
      <c r="C9" s="2">
        <v>10000</v>
      </c>
      <c r="D9" s="2">
        <v>10000</v>
      </c>
      <c r="E9" s="2">
        <v>40000</v>
      </c>
      <c r="F9" s="2">
        <v>60000</v>
      </c>
      <c r="G9" s="10">
        <v>7.1428571428571426E-3</v>
      </c>
      <c r="H9" s="10">
        <v>7.1428571428571426E-3</v>
      </c>
      <c r="I9" s="10">
        <v>2.8571428571428571E-2</v>
      </c>
      <c r="J9" s="10">
        <v>4.2857142857142858E-2</v>
      </c>
      <c r="K9" s="9">
        <v>7.1428571428571426E-3</v>
      </c>
      <c r="L9" s="9">
        <v>7.1428571428571426E-3</v>
      </c>
      <c r="M9" s="9">
        <v>1.607142857142857E-2</v>
      </c>
      <c r="N9" s="12">
        <v>1.7857142857142856E-2</v>
      </c>
      <c r="O9" s="14">
        <f t="shared" si="0"/>
        <v>0.05</v>
      </c>
      <c r="P9" s="14">
        <f t="shared" si="1"/>
        <v>0.05</v>
      </c>
      <c r="Q9" s="14">
        <f t="shared" si="2"/>
        <v>0.125</v>
      </c>
      <c r="R9" s="14">
        <f t="shared" si="3"/>
        <v>0.15</v>
      </c>
    </row>
    <row r="10" spans="1:18" x14ac:dyDescent="0.45">
      <c r="A10" s="8" t="s">
        <v>15</v>
      </c>
      <c r="B10" s="1">
        <v>1600000</v>
      </c>
      <c r="C10" s="2">
        <v>20000</v>
      </c>
      <c r="D10" s="2">
        <v>20000</v>
      </c>
      <c r="E10" s="2">
        <v>65000</v>
      </c>
      <c r="F10" s="2">
        <v>90000</v>
      </c>
      <c r="G10" s="10">
        <v>1.2500000000000001E-2</v>
      </c>
      <c r="H10" s="10">
        <v>1.2500000000000001E-2</v>
      </c>
      <c r="I10" s="10">
        <v>4.0625000000000001E-2</v>
      </c>
      <c r="J10" s="10">
        <v>5.6250000000000001E-2</v>
      </c>
      <c r="K10" s="9">
        <v>5.3571428571428581E-3</v>
      </c>
      <c r="L10" s="9">
        <v>5.3571428571428581E-3</v>
      </c>
      <c r="M10" s="9">
        <v>1.2053571428571431E-2</v>
      </c>
      <c r="N10" s="12">
        <v>1.3392857142857144E-2</v>
      </c>
      <c r="O10" s="14">
        <f t="shared" si="0"/>
        <v>0.05</v>
      </c>
      <c r="P10" s="14">
        <f t="shared" si="1"/>
        <v>0.05</v>
      </c>
      <c r="Q10" s="14">
        <f t="shared" si="2"/>
        <v>0.125</v>
      </c>
      <c r="R10" s="14">
        <f t="shared" si="3"/>
        <v>0.15</v>
      </c>
    </row>
    <row r="11" spans="1:18" x14ac:dyDescent="0.45">
      <c r="A11" s="8" t="s">
        <v>15</v>
      </c>
      <c r="B11" s="1">
        <v>1800000</v>
      </c>
      <c r="C11" s="2">
        <v>30000</v>
      </c>
      <c r="D11" s="2">
        <v>30000</v>
      </c>
      <c r="E11" s="2">
        <v>90000</v>
      </c>
      <c r="F11" s="2">
        <v>120000</v>
      </c>
      <c r="G11" s="10">
        <v>1.6666666666666666E-2</v>
      </c>
      <c r="H11" s="10">
        <v>1.6666666666666666E-2</v>
      </c>
      <c r="I11" s="10">
        <v>0.05</v>
      </c>
      <c r="J11" s="10">
        <v>6.6666666666666666E-2</v>
      </c>
      <c r="K11" s="9">
        <v>4.1666666666666657E-3</v>
      </c>
      <c r="L11" s="9">
        <v>4.1666666666666657E-3</v>
      </c>
      <c r="M11" s="9">
        <v>9.3750000000000014E-3</v>
      </c>
      <c r="N11" s="12">
        <v>1.0416666666666664E-2</v>
      </c>
      <c r="O11" s="14">
        <f t="shared" si="0"/>
        <v>0.05</v>
      </c>
      <c r="P11" s="14">
        <f t="shared" si="1"/>
        <v>0.05</v>
      </c>
      <c r="Q11" s="14">
        <f t="shared" si="2"/>
        <v>0.125</v>
      </c>
      <c r="R11" s="14">
        <f t="shared" si="3"/>
        <v>0.15</v>
      </c>
    </row>
    <row r="12" spans="1:18" x14ac:dyDescent="0.45">
      <c r="A12" s="8" t="s">
        <v>15</v>
      </c>
      <c r="B12" s="1">
        <v>2000000</v>
      </c>
      <c r="C12" s="2">
        <v>40000</v>
      </c>
      <c r="D12" s="2">
        <v>40000</v>
      </c>
      <c r="E12" s="2">
        <v>115000</v>
      </c>
      <c r="F12" s="2">
        <v>150000</v>
      </c>
      <c r="G12" s="10">
        <v>0.02</v>
      </c>
      <c r="H12" s="10">
        <v>0.02</v>
      </c>
      <c r="I12" s="10">
        <v>5.7500000000000002E-2</v>
      </c>
      <c r="J12" s="10">
        <v>7.4999999999999997E-2</v>
      </c>
      <c r="K12" s="9">
        <v>3.333333333333334E-3</v>
      </c>
      <c r="L12" s="9">
        <v>3.333333333333334E-3</v>
      </c>
      <c r="M12" s="9">
        <v>7.4999999999999997E-3</v>
      </c>
      <c r="N12" s="12">
        <v>8.3333333333333315E-3</v>
      </c>
      <c r="O12" s="14">
        <f t="shared" si="0"/>
        <v>0.05</v>
      </c>
      <c r="P12" s="14">
        <f t="shared" si="1"/>
        <v>0.05</v>
      </c>
      <c r="Q12" s="14">
        <f t="shared" si="2"/>
        <v>0.125</v>
      </c>
      <c r="R12" s="14">
        <f t="shared" si="3"/>
        <v>0.15</v>
      </c>
    </row>
    <row r="13" spans="1:18" x14ac:dyDescent="0.45">
      <c r="A13" s="8" t="s">
        <v>15</v>
      </c>
      <c r="B13" s="1">
        <v>2200000</v>
      </c>
      <c r="C13" s="2">
        <v>50000</v>
      </c>
      <c r="D13" s="2">
        <v>50000</v>
      </c>
      <c r="E13" s="2">
        <v>140000</v>
      </c>
      <c r="F13" s="2">
        <v>180000</v>
      </c>
      <c r="G13" s="10">
        <v>2.2727272727272728E-2</v>
      </c>
      <c r="H13" s="10">
        <v>2.2727272727272728E-2</v>
      </c>
      <c r="I13" s="10">
        <v>6.363636363636363E-2</v>
      </c>
      <c r="J13" s="10">
        <v>8.1818181818181818E-2</v>
      </c>
      <c r="K13" s="9">
        <v>2.7272727272727275E-3</v>
      </c>
      <c r="L13" s="9">
        <v>2.7272727272727275E-3</v>
      </c>
      <c r="M13" s="9">
        <v>6.1363636363636273E-3</v>
      </c>
      <c r="N13" s="12">
        <v>6.8181818181818205E-3</v>
      </c>
      <c r="O13" s="14">
        <f t="shared" si="0"/>
        <v>0.05</v>
      </c>
      <c r="P13" s="14">
        <f t="shared" si="1"/>
        <v>0.05</v>
      </c>
      <c r="Q13" s="14">
        <f t="shared" si="2"/>
        <v>0.125</v>
      </c>
      <c r="R13" s="14">
        <f t="shared" si="3"/>
        <v>0.15</v>
      </c>
    </row>
    <row r="14" spans="1:18" x14ac:dyDescent="0.45">
      <c r="A14" s="8" t="s">
        <v>15</v>
      </c>
      <c r="B14" s="1">
        <v>2400000</v>
      </c>
      <c r="C14" s="2">
        <v>60000</v>
      </c>
      <c r="D14" s="2">
        <v>60000</v>
      </c>
      <c r="E14" s="2">
        <v>165000</v>
      </c>
      <c r="F14" s="2">
        <v>230000</v>
      </c>
      <c r="G14" s="10">
        <v>2.5000000000000001E-2</v>
      </c>
      <c r="H14" s="10">
        <v>2.5000000000000001E-2</v>
      </c>
      <c r="I14" s="10">
        <v>6.8750000000000006E-2</v>
      </c>
      <c r="J14" s="10">
        <v>9.583333333333334E-2</v>
      </c>
      <c r="K14" s="9">
        <v>2.2727272727272735E-3</v>
      </c>
      <c r="L14" s="9">
        <v>2.2727272727272735E-3</v>
      </c>
      <c r="M14" s="9">
        <v>5.1136363636363757E-3</v>
      </c>
      <c r="N14" s="12">
        <v>1.4015151515151522E-2</v>
      </c>
      <c r="O14" s="14">
        <f t="shared" si="0"/>
        <v>0.05</v>
      </c>
      <c r="P14" s="14">
        <f t="shared" si="1"/>
        <v>0.05</v>
      </c>
      <c r="Q14" s="14">
        <f t="shared" si="2"/>
        <v>0.125</v>
      </c>
      <c r="R14" s="14">
        <f t="shared" si="3"/>
        <v>0.25</v>
      </c>
    </row>
    <row r="15" spans="1:18" x14ac:dyDescent="0.45">
      <c r="A15" s="8" t="s">
        <v>15</v>
      </c>
      <c r="B15" s="1">
        <v>2600000</v>
      </c>
      <c r="C15" s="2">
        <v>80000</v>
      </c>
      <c r="D15" s="2">
        <v>80000</v>
      </c>
      <c r="E15" s="2">
        <v>210000</v>
      </c>
      <c r="F15" s="2">
        <v>280000</v>
      </c>
      <c r="G15" s="10">
        <v>3.0769230769230771E-2</v>
      </c>
      <c r="H15" s="10">
        <v>3.0769230769230771E-2</v>
      </c>
      <c r="I15" s="10">
        <v>8.0769230769230774E-2</v>
      </c>
      <c r="J15" s="10">
        <v>0.1076923076923077</v>
      </c>
      <c r="K15" s="9">
        <v>5.7692307692307696E-3</v>
      </c>
      <c r="L15" s="9">
        <v>5.7692307692307696E-3</v>
      </c>
      <c r="M15" s="9">
        <v>1.2019230769230768E-2</v>
      </c>
      <c r="N15" s="12">
        <v>1.1858974358974358E-2</v>
      </c>
      <c r="O15" s="14">
        <f t="shared" si="0"/>
        <v>0.15</v>
      </c>
      <c r="P15" s="14">
        <f t="shared" si="1"/>
        <v>0.15</v>
      </c>
      <c r="Q15" s="14">
        <f t="shared" si="2"/>
        <v>0.22500000000000001</v>
      </c>
      <c r="R15" s="14">
        <f t="shared" si="3"/>
        <v>0.25</v>
      </c>
    </row>
    <row r="16" spans="1:18" x14ac:dyDescent="0.45">
      <c r="A16" s="8" t="s">
        <v>15</v>
      </c>
      <c r="B16" s="1">
        <v>2800000</v>
      </c>
      <c r="C16" s="2">
        <v>110000</v>
      </c>
      <c r="D16" s="2">
        <v>110000</v>
      </c>
      <c r="E16" s="2">
        <v>255000</v>
      </c>
      <c r="F16" s="2">
        <v>330000</v>
      </c>
      <c r="G16" s="10">
        <v>3.9285714285714285E-2</v>
      </c>
      <c r="H16" s="10">
        <v>3.9285714285714285E-2</v>
      </c>
      <c r="I16" s="10">
        <v>9.1071428571428567E-2</v>
      </c>
      <c r="J16" s="10">
        <v>0.11785714285714285</v>
      </c>
      <c r="K16" s="9">
        <v>8.516483516483514E-3</v>
      </c>
      <c r="L16" s="9">
        <v>8.516483516483514E-3</v>
      </c>
      <c r="M16" s="9">
        <v>1.0302197802197793E-2</v>
      </c>
      <c r="N16" s="12">
        <v>1.0164835164835156E-2</v>
      </c>
      <c r="O16" s="14">
        <f t="shared" si="0"/>
        <v>0.15</v>
      </c>
      <c r="P16" s="14">
        <f t="shared" si="1"/>
        <v>0.15</v>
      </c>
      <c r="Q16" s="14">
        <f t="shared" si="2"/>
        <v>0.22500000000000001</v>
      </c>
      <c r="R16" s="14">
        <f t="shared" si="3"/>
        <v>0.25</v>
      </c>
    </row>
    <row r="17" spans="1:18" x14ac:dyDescent="0.45">
      <c r="A17" s="8" t="s">
        <v>15</v>
      </c>
      <c r="B17" s="1">
        <v>3000000</v>
      </c>
      <c r="C17" s="2">
        <v>140000</v>
      </c>
      <c r="D17" s="2">
        <v>140000</v>
      </c>
      <c r="E17" s="2">
        <v>300000</v>
      </c>
      <c r="F17" s="2">
        <v>380000</v>
      </c>
      <c r="G17" s="10">
        <v>4.6666666666666669E-2</v>
      </c>
      <c r="H17" s="10">
        <v>4.6666666666666669E-2</v>
      </c>
      <c r="I17" s="10">
        <v>0.1</v>
      </c>
      <c r="J17" s="10">
        <v>0.12666666666666668</v>
      </c>
      <c r="K17" s="9">
        <v>7.3809523809523839E-3</v>
      </c>
      <c r="L17" s="9">
        <v>7.3809523809523839E-3</v>
      </c>
      <c r="M17" s="9">
        <v>8.9285714285714385E-3</v>
      </c>
      <c r="N17" s="12">
        <v>8.8095238095238226E-3</v>
      </c>
      <c r="O17" s="14">
        <f t="shared" si="0"/>
        <v>0.15</v>
      </c>
      <c r="P17" s="14">
        <f t="shared" si="1"/>
        <v>0.15</v>
      </c>
      <c r="Q17" s="14">
        <f t="shared" si="2"/>
        <v>0.22500000000000001</v>
      </c>
      <c r="R17" s="14">
        <f t="shared" si="3"/>
        <v>0.25</v>
      </c>
    </row>
    <row r="18" spans="1:18" x14ac:dyDescent="0.45">
      <c r="A18" s="8" t="s">
        <v>15</v>
      </c>
      <c r="B18" s="1">
        <v>3200000</v>
      </c>
      <c r="C18" s="2">
        <v>170000</v>
      </c>
      <c r="D18" s="2">
        <v>170000</v>
      </c>
      <c r="E18" s="2">
        <v>345000</v>
      </c>
      <c r="F18" s="2">
        <v>430000</v>
      </c>
      <c r="G18" s="10">
        <v>5.3124999999999999E-2</v>
      </c>
      <c r="H18" s="10">
        <v>5.3124999999999999E-2</v>
      </c>
      <c r="I18" s="10">
        <v>0.10781250000000001</v>
      </c>
      <c r="J18" s="10">
        <v>0.13437499999999999</v>
      </c>
      <c r="K18" s="9">
        <v>6.4583333333333298E-3</v>
      </c>
      <c r="L18" s="9">
        <v>6.4583333333333298E-3</v>
      </c>
      <c r="M18" s="9">
        <v>7.8125E-3</v>
      </c>
      <c r="N18" s="12">
        <v>7.7083333333333171E-3</v>
      </c>
      <c r="O18" s="14">
        <f t="shared" si="0"/>
        <v>0.15</v>
      </c>
      <c r="P18" s="14">
        <f t="shared" si="1"/>
        <v>0.15</v>
      </c>
      <c r="Q18" s="14">
        <f t="shared" si="2"/>
        <v>0.22500000000000001</v>
      </c>
      <c r="R18" s="14">
        <f t="shared" si="3"/>
        <v>0.25</v>
      </c>
    </row>
    <row r="19" spans="1:18" x14ac:dyDescent="0.45">
      <c r="A19" s="8" t="s">
        <v>15</v>
      </c>
      <c r="B19" s="1">
        <v>3400000</v>
      </c>
      <c r="C19" s="2">
        <v>200000</v>
      </c>
      <c r="D19" s="2">
        <v>200000</v>
      </c>
      <c r="E19" s="2">
        <v>390000</v>
      </c>
      <c r="F19" s="2">
        <v>490000</v>
      </c>
      <c r="G19" s="10">
        <v>5.8823529411764705E-2</v>
      </c>
      <c r="H19" s="10">
        <v>5.8823529411764705E-2</v>
      </c>
      <c r="I19" s="10">
        <v>0.11470588235294117</v>
      </c>
      <c r="J19" s="10">
        <v>0.14411764705882352</v>
      </c>
      <c r="K19" s="9">
        <v>5.6985294117647065E-3</v>
      </c>
      <c r="L19" s="9">
        <v>5.6985294117647065E-3</v>
      </c>
      <c r="M19" s="9">
        <v>6.8933823529411659E-3</v>
      </c>
      <c r="N19" s="12">
        <v>9.7426470588235226E-3</v>
      </c>
      <c r="O19" s="14">
        <f t="shared" si="0"/>
        <v>0.15</v>
      </c>
      <c r="P19" s="14">
        <f t="shared" si="1"/>
        <v>0.15</v>
      </c>
      <c r="Q19" s="14">
        <f t="shared" si="2"/>
        <v>0.22500000000000001</v>
      </c>
      <c r="R19" s="14">
        <f t="shared" si="3"/>
        <v>0.3</v>
      </c>
    </row>
    <row r="20" spans="1:18" x14ac:dyDescent="0.45">
      <c r="A20" s="8" t="s">
        <v>15</v>
      </c>
      <c r="B20" s="1">
        <v>3600000</v>
      </c>
      <c r="C20" s="2">
        <v>230000</v>
      </c>
      <c r="D20" s="2">
        <v>230000</v>
      </c>
      <c r="E20" s="2">
        <v>435000</v>
      </c>
      <c r="F20" s="2">
        <v>550000</v>
      </c>
      <c r="G20" s="10">
        <v>6.3888888888888884E-2</v>
      </c>
      <c r="H20" s="10">
        <v>6.3888888888888884E-2</v>
      </c>
      <c r="I20" s="10">
        <v>0.12083333333333333</v>
      </c>
      <c r="J20" s="10">
        <v>0.15277777777777779</v>
      </c>
      <c r="K20" s="9">
        <v>5.0653594771241789E-3</v>
      </c>
      <c r="L20" s="9">
        <v>5.0653594771241789E-3</v>
      </c>
      <c r="M20" s="9">
        <v>6.1274509803921628E-3</v>
      </c>
      <c r="N20" s="12">
        <v>8.6601307189542731E-3</v>
      </c>
      <c r="O20" s="14">
        <f t="shared" si="0"/>
        <v>0.15</v>
      </c>
      <c r="P20" s="14">
        <f t="shared" si="1"/>
        <v>0.15</v>
      </c>
      <c r="Q20" s="14">
        <f t="shared" si="2"/>
        <v>0.22500000000000001</v>
      </c>
      <c r="R20" s="14">
        <f t="shared" si="3"/>
        <v>0.3</v>
      </c>
    </row>
    <row r="21" spans="1:18" x14ac:dyDescent="0.45">
      <c r="A21" s="8" t="s">
        <v>15</v>
      </c>
      <c r="B21" s="1">
        <v>3800000</v>
      </c>
      <c r="C21" s="2">
        <v>260000</v>
      </c>
      <c r="D21" s="2">
        <v>260000</v>
      </c>
      <c r="E21" s="2">
        <v>490000</v>
      </c>
      <c r="F21" s="2">
        <v>610000</v>
      </c>
      <c r="G21" s="10">
        <v>6.8421052631578952E-2</v>
      </c>
      <c r="H21" s="10">
        <v>6.8421052631578952E-2</v>
      </c>
      <c r="I21" s="10">
        <v>0.12894736842105264</v>
      </c>
      <c r="J21" s="10">
        <v>0.16052631578947368</v>
      </c>
      <c r="K21" s="9">
        <v>4.5321637426900679E-3</v>
      </c>
      <c r="L21" s="9">
        <v>4.5321637426900679E-3</v>
      </c>
      <c r="M21" s="9">
        <v>8.1140350877193096E-3</v>
      </c>
      <c r="N21" s="12">
        <v>7.7485380116958935E-3</v>
      </c>
      <c r="O21" s="14">
        <f t="shared" si="0"/>
        <v>0.15</v>
      </c>
      <c r="P21" s="14">
        <f t="shared" si="1"/>
        <v>0.15</v>
      </c>
      <c r="Q21" s="14">
        <f t="shared" si="2"/>
        <v>0.27500000000000002</v>
      </c>
      <c r="R21" s="14">
        <f t="shared" si="3"/>
        <v>0.3</v>
      </c>
    </row>
    <row r="22" spans="1:18" x14ac:dyDescent="0.45">
      <c r="A22" s="8" t="s">
        <v>15</v>
      </c>
      <c r="B22" s="1">
        <v>4000000</v>
      </c>
      <c r="C22" s="2">
        <v>290000</v>
      </c>
      <c r="D22" s="2">
        <v>290000</v>
      </c>
      <c r="E22" s="2">
        <v>545000</v>
      </c>
      <c r="F22" s="2">
        <v>670000</v>
      </c>
      <c r="G22" s="10">
        <v>7.2499999999999995E-2</v>
      </c>
      <c r="H22" s="10">
        <v>7.2499999999999995E-2</v>
      </c>
      <c r="I22" s="10">
        <v>0.13625000000000001</v>
      </c>
      <c r="J22" s="10">
        <v>0.16750000000000001</v>
      </c>
      <c r="K22" s="9">
        <v>4.0789473684210431E-3</v>
      </c>
      <c r="L22" s="9">
        <v>4.0789473684210431E-3</v>
      </c>
      <c r="M22" s="9">
        <v>7.3026315789473661E-3</v>
      </c>
      <c r="N22" s="12">
        <v>6.9736842105263264E-3</v>
      </c>
      <c r="O22" s="14">
        <f t="shared" si="0"/>
        <v>0.15</v>
      </c>
      <c r="P22" s="14">
        <f t="shared" si="1"/>
        <v>0.15</v>
      </c>
      <c r="Q22" s="14">
        <f t="shared" si="2"/>
        <v>0.27500000000000002</v>
      </c>
      <c r="R22" s="14">
        <f t="shared" si="3"/>
        <v>0.3</v>
      </c>
    </row>
    <row r="23" spans="1:18" x14ac:dyDescent="0.45">
      <c r="A23" s="8" t="s">
        <v>15</v>
      </c>
      <c r="B23" s="1">
        <v>4200000</v>
      </c>
      <c r="C23" s="2">
        <v>330000</v>
      </c>
      <c r="D23" s="2">
        <v>330000</v>
      </c>
      <c r="E23" s="2">
        <v>600000</v>
      </c>
      <c r="F23" s="2">
        <v>735000</v>
      </c>
      <c r="G23" s="10">
        <v>7.857142857142857E-2</v>
      </c>
      <c r="H23" s="10">
        <v>7.857142857142857E-2</v>
      </c>
      <c r="I23" s="10">
        <v>0.14285714285714285</v>
      </c>
      <c r="J23" s="10">
        <v>0.17499999999999999</v>
      </c>
      <c r="K23" s="9">
        <v>6.0714285714285748E-3</v>
      </c>
      <c r="L23" s="9">
        <v>6.0714285714285748E-3</v>
      </c>
      <c r="M23" s="9">
        <v>6.6071428571428392E-3</v>
      </c>
      <c r="N23" s="12">
        <v>7.4999999999999789E-3</v>
      </c>
      <c r="O23" s="14">
        <f t="shared" si="0"/>
        <v>0.2</v>
      </c>
      <c r="P23" s="14">
        <f t="shared" si="1"/>
        <v>0.2</v>
      </c>
      <c r="Q23" s="14">
        <f t="shared" si="2"/>
        <v>0.27500000000000002</v>
      </c>
      <c r="R23" s="14">
        <f t="shared" si="3"/>
        <v>0.35</v>
      </c>
    </row>
    <row r="24" spans="1:18" x14ac:dyDescent="0.45">
      <c r="A24" s="8" t="s">
        <v>15</v>
      </c>
      <c r="B24" s="1">
        <v>4400000</v>
      </c>
      <c r="C24" s="2">
        <v>370000</v>
      </c>
      <c r="D24" s="2">
        <v>370000</v>
      </c>
      <c r="E24" s="2">
        <v>655000</v>
      </c>
      <c r="F24" s="2">
        <v>805000</v>
      </c>
      <c r="G24" s="10">
        <v>8.4090909090909091E-2</v>
      </c>
      <c r="H24" s="10">
        <v>8.4090909090909091E-2</v>
      </c>
      <c r="I24" s="10">
        <v>0.14886363636363636</v>
      </c>
      <c r="J24" s="10">
        <v>0.18295454545454545</v>
      </c>
      <c r="K24" s="9">
        <v>5.5194805194805213E-3</v>
      </c>
      <c r="L24" s="9">
        <v>5.5194805194805213E-3</v>
      </c>
      <c r="M24" s="9">
        <v>6.0064935064935154E-3</v>
      </c>
      <c r="N24" s="12">
        <v>7.9545454545454641E-3</v>
      </c>
      <c r="O24" s="14">
        <f t="shared" si="0"/>
        <v>0.2</v>
      </c>
      <c r="P24" s="14">
        <f t="shared" si="1"/>
        <v>0.2</v>
      </c>
      <c r="Q24" s="14">
        <f t="shared" si="2"/>
        <v>0.27500000000000002</v>
      </c>
      <c r="R24" s="14">
        <f t="shared" si="3"/>
        <v>0.35</v>
      </c>
    </row>
    <row r="25" spans="1:18" x14ac:dyDescent="0.45">
      <c r="A25" s="8" t="s">
        <v>15</v>
      </c>
      <c r="B25" s="1">
        <v>4600000</v>
      </c>
      <c r="C25" s="2">
        <v>410000</v>
      </c>
      <c r="D25" s="2">
        <v>410000</v>
      </c>
      <c r="E25" s="2">
        <v>710000</v>
      </c>
      <c r="F25" s="2">
        <v>875000</v>
      </c>
      <c r="G25" s="10">
        <v>8.9130434782608695E-2</v>
      </c>
      <c r="H25" s="10">
        <v>8.9130434782608695E-2</v>
      </c>
      <c r="I25" s="10">
        <v>0.15434782608695652</v>
      </c>
      <c r="J25" s="10">
        <v>0.19021739130434784</v>
      </c>
      <c r="K25" s="9">
        <v>5.0395256916996034E-3</v>
      </c>
      <c r="L25" s="9">
        <v>5.0395256916996034E-3</v>
      </c>
      <c r="M25" s="9">
        <v>5.4841897233201542E-3</v>
      </c>
      <c r="N25" s="12">
        <v>7.2628458498023851E-3</v>
      </c>
      <c r="O25" s="14">
        <f t="shared" si="0"/>
        <v>0.2</v>
      </c>
      <c r="P25" s="14">
        <f t="shared" si="1"/>
        <v>0.2</v>
      </c>
      <c r="Q25" s="14">
        <f t="shared" si="2"/>
        <v>0.27500000000000002</v>
      </c>
      <c r="R25" s="14">
        <f t="shared" si="3"/>
        <v>0.35</v>
      </c>
    </row>
    <row r="26" spans="1:18" x14ac:dyDescent="0.45">
      <c r="A26" s="8" t="s">
        <v>15</v>
      </c>
      <c r="B26" s="1">
        <v>4800000</v>
      </c>
      <c r="C26" s="2">
        <v>450000</v>
      </c>
      <c r="D26" s="2">
        <v>450000</v>
      </c>
      <c r="E26" s="2">
        <v>765000</v>
      </c>
      <c r="F26" s="2">
        <v>945000</v>
      </c>
      <c r="G26" s="10">
        <v>9.375E-2</v>
      </c>
      <c r="H26" s="10">
        <v>9.375E-2</v>
      </c>
      <c r="I26" s="10">
        <v>0.15937499999999999</v>
      </c>
      <c r="J26" s="10">
        <v>0.19687499999999999</v>
      </c>
      <c r="K26" s="9">
        <v>4.6195652173913054E-3</v>
      </c>
      <c r="L26" s="9">
        <v>4.6195652173913054E-3</v>
      </c>
      <c r="M26" s="9">
        <v>5.0271739130434701E-3</v>
      </c>
      <c r="N26" s="12">
        <v>6.6576086956521563E-3</v>
      </c>
      <c r="O26" s="14">
        <f t="shared" si="0"/>
        <v>0.2</v>
      </c>
      <c r="P26" s="14">
        <f t="shared" si="1"/>
        <v>0.2</v>
      </c>
      <c r="Q26" s="14">
        <f t="shared" si="2"/>
        <v>0.27500000000000002</v>
      </c>
      <c r="R26" s="14">
        <f t="shared" si="3"/>
        <v>0.35</v>
      </c>
    </row>
    <row r="27" spans="1:18" x14ac:dyDescent="0.45">
      <c r="A27" s="8" t="s">
        <v>15</v>
      </c>
      <c r="B27" s="1">
        <v>5000000</v>
      </c>
      <c r="C27" s="2">
        <v>490000</v>
      </c>
      <c r="D27" s="2">
        <v>490000</v>
      </c>
      <c r="E27" s="2">
        <v>820000</v>
      </c>
      <c r="F27" s="2">
        <v>1015000</v>
      </c>
      <c r="G27" s="10">
        <v>9.8000000000000004E-2</v>
      </c>
      <c r="H27" s="10">
        <v>9.8000000000000004E-2</v>
      </c>
      <c r="I27" s="10">
        <v>0.16400000000000001</v>
      </c>
      <c r="J27" s="10">
        <v>0.20300000000000001</v>
      </c>
      <c r="K27" s="9">
        <v>4.2500000000000038E-3</v>
      </c>
      <c r="L27" s="9">
        <v>4.2500000000000038E-3</v>
      </c>
      <c r="M27" s="9">
        <v>4.625000000000018E-3</v>
      </c>
      <c r="N27" s="12">
        <v>6.1250000000000193E-3</v>
      </c>
      <c r="O27" s="14">
        <f t="shared" si="0"/>
        <v>0.2</v>
      </c>
      <c r="P27" s="14">
        <f t="shared" si="1"/>
        <v>0.2</v>
      </c>
      <c r="Q27" s="14">
        <f t="shared" si="2"/>
        <v>0.27500000000000002</v>
      </c>
      <c r="R27" s="14">
        <f t="shared" si="3"/>
        <v>0.35</v>
      </c>
    </row>
    <row r="28" spans="1:18" x14ac:dyDescent="0.45">
      <c r="A28" s="8" t="s">
        <v>15</v>
      </c>
      <c r="B28" s="1">
        <v>5200000</v>
      </c>
      <c r="C28" s="2">
        <v>530000</v>
      </c>
      <c r="D28" s="2">
        <v>530000</v>
      </c>
      <c r="E28" s="2">
        <v>875000</v>
      </c>
      <c r="F28" s="2">
        <v>1085000</v>
      </c>
      <c r="G28" s="10">
        <v>0.10192307692307692</v>
      </c>
      <c r="H28" s="10">
        <v>0.10192307692307692</v>
      </c>
      <c r="I28" s="10">
        <v>0.16826923076923078</v>
      </c>
      <c r="J28" s="10">
        <v>0.20865384615384616</v>
      </c>
      <c r="K28" s="9">
        <v>3.923076923076918E-3</v>
      </c>
      <c r="L28" s="9">
        <v>3.923076923076918E-3</v>
      </c>
      <c r="M28" s="9">
        <v>4.2692307692307752E-3</v>
      </c>
      <c r="N28" s="12">
        <v>5.6538461538461482E-3</v>
      </c>
      <c r="O28" s="14">
        <f t="shared" si="0"/>
        <v>0.2</v>
      </c>
      <c r="P28" s="14">
        <f t="shared" si="1"/>
        <v>0.2</v>
      </c>
      <c r="Q28" s="14">
        <f t="shared" si="2"/>
        <v>0.27500000000000002</v>
      </c>
      <c r="R28" s="14">
        <f t="shared" si="3"/>
        <v>0.35</v>
      </c>
    </row>
    <row r="29" spans="1:18" x14ac:dyDescent="0.45">
      <c r="A29" s="8" t="s">
        <v>15</v>
      </c>
      <c r="B29" s="1">
        <v>5400000</v>
      </c>
      <c r="C29" s="2">
        <v>570000</v>
      </c>
      <c r="D29" s="2">
        <v>570000</v>
      </c>
      <c r="E29" s="2">
        <v>930000</v>
      </c>
      <c r="F29" s="2">
        <v>1155000</v>
      </c>
      <c r="G29" s="10">
        <v>0.10555555555555556</v>
      </c>
      <c r="H29" s="10">
        <v>0.10555555555555556</v>
      </c>
      <c r="I29" s="10">
        <v>0.17222222222222222</v>
      </c>
      <c r="J29" s="10">
        <v>0.21388888888888888</v>
      </c>
      <c r="K29" s="9">
        <v>3.6324786324786335E-3</v>
      </c>
      <c r="L29" s="9">
        <v>3.6324786324786335E-3</v>
      </c>
      <c r="M29" s="9">
        <v>3.9529914529914389E-3</v>
      </c>
      <c r="N29" s="12">
        <v>5.2350427350427164E-3</v>
      </c>
      <c r="O29" s="14">
        <f t="shared" si="0"/>
        <v>0.2</v>
      </c>
      <c r="P29" s="14">
        <f t="shared" si="1"/>
        <v>0.2</v>
      </c>
      <c r="Q29" s="14">
        <f t="shared" si="2"/>
        <v>0.27500000000000002</v>
      </c>
      <c r="R29" s="14">
        <f t="shared" si="3"/>
        <v>0.35</v>
      </c>
    </row>
    <row r="30" spans="1:18" x14ac:dyDescent="0.45">
      <c r="A30" s="8" t="s">
        <v>15</v>
      </c>
      <c r="B30" s="1">
        <v>5600000</v>
      </c>
      <c r="C30" s="2">
        <v>610000</v>
      </c>
      <c r="D30" s="2">
        <v>610000</v>
      </c>
      <c r="E30" s="2">
        <v>985000</v>
      </c>
      <c r="F30" s="2">
        <v>1225000</v>
      </c>
      <c r="G30" s="10">
        <v>0.10892857142857143</v>
      </c>
      <c r="H30" s="10">
        <v>0.10892857142857143</v>
      </c>
      <c r="I30" s="10">
        <v>0.17589285714285716</v>
      </c>
      <c r="J30" s="10">
        <v>0.21875</v>
      </c>
      <c r="K30" s="9">
        <v>3.3730158730158749E-3</v>
      </c>
      <c r="L30" s="9">
        <v>3.3730158730158749E-3</v>
      </c>
      <c r="M30" s="9">
        <v>3.6706349206349353E-3</v>
      </c>
      <c r="N30" s="12">
        <v>4.8611111111111216E-3</v>
      </c>
      <c r="O30" s="14">
        <f t="shared" si="0"/>
        <v>0.2</v>
      </c>
      <c r="P30" s="14">
        <f t="shared" si="1"/>
        <v>0.2</v>
      </c>
      <c r="Q30" s="14">
        <f t="shared" si="2"/>
        <v>0.27500000000000002</v>
      </c>
      <c r="R30" s="14">
        <f t="shared" si="3"/>
        <v>0.35</v>
      </c>
    </row>
    <row r="31" spans="1:18" x14ac:dyDescent="0.45">
      <c r="A31" s="8" t="s">
        <v>15</v>
      </c>
      <c r="B31" s="1">
        <v>5800000</v>
      </c>
      <c r="C31" s="2">
        <v>650000</v>
      </c>
      <c r="D31" s="2">
        <v>650000</v>
      </c>
      <c r="E31" s="2">
        <v>1040000</v>
      </c>
      <c r="F31" s="2">
        <v>1295000</v>
      </c>
      <c r="G31" s="10">
        <v>0.11206896551724138</v>
      </c>
      <c r="H31" s="10">
        <v>0.11206896551724138</v>
      </c>
      <c r="I31" s="10">
        <v>0.1793103448275862</v>
      </c>
      <c r="J31" s="10">
        <v>0.22327586206896552</v>
      </c>
      <c r="K31" s="9">
        <v>3.1403940886699511E-3</v>
      </c>
      <c r="L31" s="9">
        <v>3.1403940886699511E-3</v>
      </c>
      <c r="M31" s="9">
        <v>3.4174876847290481E-3</v>
      </c>
      <c r="N31" s="12">
        <v>4.5258620689655193E-3</v>
      </c>
      <c r="O31" s="14">
        <f t="shared" si="0"/>
        <v>0.2</v>
      </c>
      <c r="P31" s="14">
        <f t="shared" si="1"/>
        <v>0.2</v>
      </c>
      <c r="Q31" s="14">
        <f t="shared" si="2"/>
        <v>0.27500000000000002</v>
      </c>
      <c r="R31" s="14">
        <f t="shared" si="3"/>
        <v>0.35</v>
      </c>
    </row>
    <row r="32" spans="1:18" x14ac:dyDescent="0.45">
      <c r="A32" s="8" t="s">
        <v>15</v>
      </c>
      <c r="B32" s="1">
        <v>6000000</v>
      </c>
      <c r="C32" s="2">
        <v>690000</v>
      </c>
      <c r="D32" s="2">
        <v>690000</v>
      </c>
      <c r="E32" s="2">
        <v>1095000</v>
      </c>
      <c r="F32" s="2">
        <v>1365000</v>
      </c>
      <c r="G32" s="10">
        <v>0.115</v>
      </c>
      <c r="H32" s="10">
        <v>0.115</v>
      </c>
      <c r="I32" s="10">
        <v>0.1825</v>
      </c>
      <c r="J32" s="10">
        <v>0.22750000000000001</v>
      </c>
      <c r="K32" s="9">
        <v>2.9310344827586238E-3</v>
      </c>
      <c r="L32" s="9">
        <v>2.9310344827586238E-3</v>
      </c>
      <c r="M32" s="9">
        <v>3.1896551724137912E-3</v>
      </c>
      <c r="N32" s="12">
        <v>4.2241379310344884E-3</v>
      </c>
      <c r="O32" s="14">
        <f t="shared" si="0"/>
        <v>0.2</v>
      </c>
      <c r="P32" s="14">
        <f t="shared" si="1"/>
        <v>0.2</v>
      </c>
      <c r="Q32" s="14">
        <f t="shared" si="2"/>
        <v>0.27500000000000002</v>
      </c>
      <c r="R32" s="14">
        <f t="shared" si="3"/>
        <v>0.35</v>
      </c>
    </row>
    <row r="33" spans="1:18" x14ac:dyDescent="0.45">
      <c r="A33" s="8" t="s">
        <v>15</v>
      </c>
      <c r="B33" s="1">
        <v>6200000</v>
      </c>
      <c r="C33" s="2">
        <v>730000</v>
      </c>
      <c r="D33" s="2">
        <v>730000</v>
      </c>
      <c r="E33" s="2">
        <v>1165000</v>
      </c>
      <c r="F33" s="2">
        <v>1435000</v>
      </c>
      <c r="G33" s="10">
        <v>0.11774193548387096</v>
      </c>
      <c r="H33" s="10">
        <v>0.11774193548387096</v>
      </c>
      <c r="I33" s="10">
        <v>0.18790322580645161</v>
      </c>
      <c r="J33" s="10">
        <v>0.2314516129032258</v>
      </c>
      <c r="K33" s="9">
        <v>2.7419354838709581E-3</v>
      </c>
      <c r="L33" s="9">
        <v>2.7419354838709581E-3</v>
      </c>
      <c r="M33" s="9">
        <v>5.4032258064516114E-3</v>
      </c>
      <c r="N33" s="12">
        <v>3.9516129032257929E-3</v>
      </c>
      <c r="O33" s="14">
        <f t="shared" si="0"/>
        <v>0.2</v>
      </c>
      <c r="P33" s="14">
        <f t="shared" si="1"/>
        <v>0.2</v>
      </c>
      <c r="Q33" s="14">
        <f t="shared" si="2"/>
        <v>0.35</v>
      </c>
      <c r="R33" s="14">
        <f t="shared" si="3"/>
        <v>0.35</v>
      </c>
    </row>
    <row r="34" spans="1:18" x14ac:dyDescent="0.45">
      <c r="A34" s="8" t="s">
        <v>15</v>
      </c>
      <c r="B34" s="1">
        <v>6400000</v>
      </c>
      <c r="C34" s="2">
        <v>770000</v>
      </c>
      <c r="D34" s="2">
        <v>770000</v>
      </c>
      <c r="E34" s="2">
        <v>1235000</v>
      </c>
      <c r="F34" s="2">
        <v>1505000</v>
      </c>
      <c r="G34" s="10">
        <v>0.1203125</v>
      </c>
      <c r="H34" s="10">
        <v>0.1203125</v>
      </c>
      <c r="I34" s="10">
        <v>0.19296874999999999</v>
      </c>
      <c r="J34" s="10">
        <v>0.23515625000000001</v>
      </c>
      <c r="K34" s="9">
        <v>2.5705645161290397E-3</v>
      </c>
      <c r="L34" s="9">
        <v>2.5705645161290397E-3</v>
      </c>
      <c r="M34" s="9">
        <v>5.0655241935483875E-3</v>
      </c>
      <c r="N34" s="12">
        <v>3.7046370967742104E-3</v>
      </c>
      <c r="O34" s="14">
        <f t="shared" si="0"/>
        <v>0.2</v>
      </c>
      <c r="P34" s="14">
        <f t="shared" si="1"/>
        <v>0.2</v>
      </c>
      <c r="Q34" s="14">
        <f t="shared" si="2"/>
        <v>0.35</v>
      </c>
      <c r="R34" s="14">
        <f t="shared" si="3"/>
        <v>0.35</v>
      </c>
    </row>
    <row r="35" spans="1:18" x14ac:dyDescent="0.45">
      <c r="A35" s="8" t="s">
        <v>15</v>
      </c>
      <c r="B35" s="1">
        <v>6600000</v>
      </c>
      <c r="C35" s="2">
        <v>810000</v>
      </c>
      <c r="D35" s="2">
        <v>810000</v>
      </c>
      <c r="E35" s="2">
        <v>1305000</v>
      </c>
      <c r="F35" s="2">
        <v>1575000</v>
      </c>
      <c r="G35" s="10">
        <v>0.12272727272727273</v>
      </c>
      <c r="H35" s="10">
        <v>0.12272727272727273</v>
      </c>
      <c r="I35" s="10">
        <v>0.19772727272727272</v>
      </c>
      <c r="J35" s="10">
        <v>0.23863636363636365</v>
      </c>
      <c r="K35" s="9">
        <v>2.4147727272727237E-3</v>
      </c>
      <c r="L35" s="9">
        <v>2.4147727272727237E-3</v>
      </c>
      <c r="M35" s="9">
        <v>4.7585227272727293E-3</v>
      </c>
      <c r="N35" s="12">
        <v>3.4801136363636354E-3</v>
      </c>
      <c r="O35" s="14">
        <f t="shared" si="0"/>
        <v>0.2</v>
      </c>
      <c r="P35" s="14">
        <f t="shared" si="1"/>
        <v>0.2</v>
      </c>
      <c r="Q35" s="14">
        <f t="shared" si="2"/>
        <v>0.35</v>
      </c>
      <c r="R35" s="14">
        <f t="shared" si="3"/>
        <v>0.35</v>
      </c>
    </row>
    <row r="36" spans="1:18" x14ac:dyDescent="0.45">
      <c r="A36" s="8" t="s">
        <v>15</v>
      </c>
      <c r="B36" s="1">
        <v>6800000</v>
      </c>
      <c r="C36" s="2">
        <v>850000</v>
      </c>
      <c r="D36" s="2">
        <v>850000</v>
      </c>
      <c r="E36" s="2">
        <v>1375000</v>
      </c>
      <c r="F36" s="2">
        <v>1645000</v>
      </c>
      <c r="G36" s="10">
        <v>0.125</v>
      </c>
      <c r="H36" s="10">
        <v>0.125</v>
      </c>
      <c r="I36" s="10">
        <v>0.20220588235294118</v>
      </c>
      <c r="J36" s="10">
        <v>0.24191176470588235</v>
      </c>
      <c r="K36" s="9">
        <v>2.2727272727272735E-3</v>
      </c>
      <c r="L36" s="9">
        <v>2.2727272727272735E-3</v>
      </c>
      <c r="M36" s="9">
        <v>4.478609625668456E-3</v>
      </c>
      <c r="N36" s="12">
        <v>3.2754010695187075E-3</v>
      </c>
      <c r="O36" s="14">
        <f t="shared" si="0"/>
        <v>0.2</v>
      </c>
      <c r="P36" s="14">
        <f t="shared" si="1"/>
        <v>0.2</v>
      </c>
      <c r="Q36" s="14">
        <f t="shared" si="2"/>
        <v>0.35</v>
      </c>
      <c r="R36" s="14">
        <f t="shared" si="3"/>
        <v>0.35</v>
      </c>
    </row>
    <row r="37" spans="1:18" x14ac:dyDescent="0.45">
      <c r="A37" s="8" t="s">
        <v>15</v>
      </c>
      <c r="B37" s="1">
        <v>7000000</v>
      </c>
      <c r="C37" s="2">
        <v>890000</v>
      </c>
      <c r="D37" s="2">
        <v>890000</v>
      </c>
      <c r="E37" s="2">
        <v>1445000</v>
      </c>
      <c r="F37" s="2">
        <v>1715000</v>
      </c>
      <c r="G37" s="10">
        <v>0.12714285714285714</v>
      </c>
      <c r="H37" s="10">
        <v>0.12714285714285714</v>
      </c>
      <c r="I37" s="10">
        <v>0.20642857142857143</v>
      </c>
      <c r="J37" s="10">
        <v>0.245</v>
      </c>
      <c r="K37" s="9">
        <v>2.1428571428571408E-3</v>
      </c>
      <c r="L37" s="9">
        <v>2.1428571428571408E-3</v>
      </c>
      <c r="M37" s="9">
        <v>4.2226890756302538E-3</v>
      </c>
      <c r="N37" s="12">
        <v>3.0882352941176416E-3</v>
      </c>
      <c r="O37" s="14">
        <f t="shared" si="0"/>
        <v>0.2</v>
      </c>
      <c r="P37" s="14">
        <f t="shared" si="1"/>
        <v>0.2</v>
      </c>
      <c r="Q37" s="14">
        <f t="shared" si="2"/>
        <v>0.35</v>
      </c>
      <c r="R37" s="14">
        <f t="shared" si="3"/>
        <v>0.35</v>
      </c>
    </row>
    <row r="38" spans="1:18" x14ac:dyDescent="0.45">
      <c r="A38" s="8" t="s">
        <v>15</v>
      </c>
      <c r="B38" s="1">
        <v>7200000</v>
      </c>
      <c r="C38" s="2">
        <v>930000</v>
      </c>
      <c r="D38" s="2">
        <v>930000</v>
      </c>
      <c r="E38" s="2">
        <v>1515000</v>
      </c>
      <c r="F38" s="2">
        <v>1785000</v>
      </c>
      <c r="G38" s="10">
        <v>0.12916666666666668</v>
      </c>
      <c r="H38" s="10">
        <v>0.12916666666666668</v>
      </c>
      <c r="I38" s="10">
        <v>0.21041666666666667</v>
      </c>
      <c r="J38" s="10">
        <v>0.24791666666666667</v>
      </c>
      <c r="K38" s="9">
        <v>2.0238095238095388E-3</v>
      </c>
      <c r="L38" s="9">
        <v>2.0238095238095388E-3</v>
      </c>
      <c r="M38" s="9">
        <v>3.988095238095235E-3</v>
      </c>
      <c r="N38" s="12">
        <v>2.9166666666666785E-3</v>
      </c>
      <c r="O38" s="14">
        <f t="shared" si="0"/>
        <v>0.2</v>
      </c>
      <c r="P38" s="14">
        <f t="shared" si="1"/>
        <v>0.2</v>
      </c>
      <c r="Q38" s="14">
        <f t="shared" si="2"/>
        <v>0.35</v>
      </c>
      <c r="R38" s="14">
        <f t="shared" si="3"/>
        <v>0.35</v>
      </c>
    </row>
    <row r="39" spans="1:18" x14ac:dyDescent="0.45">
      <c r="A39" s="8" t="s">
        <v>15</v>
      </c>
      <c r="B39" s="1">
        <v>7400000</v>
      </c>
      <c r="C39" s="2">
        <v>970000</v>
      </c>
      <c r="D39" s="2">
        <v>970000</v>
      </c>
      <c r="E39" s="2">
        <v>1585000</v>
      </c>
      <c r="F39" s="2">
        <v>1855000</v>
      </c>
      <c r="G39" s="10">
        <v>0.13108108108108107</v>
      </c>
      <c r="H39" s="10">
        <v>0.13108108108108107</v>
      </c>
      <c r="I39" s="10">
        <v>0.21418918918918919</v>
      </c>
      <c r="J39" s="10">
        <v>0.25067567567567567</v>
      </c>
      <c r="K39" s="9">
        <v>1.9144144144143949E-3</v>
      </c>
      <c r="L39" s="9">
        <v>1.9144144144143949E-3</v>
      </c>
      <c r="M39" s="9">
        <v>3.7725225225225256E-3</v>
      </c>
      <c r="N39" s="12">
        <v>2.7590090090089947E-3</v>
      </c>
      <c r="O39" s="14">
        <f t="shared" si="0"/>
        <v>0.2</v>
      </c>
      <c r="P39" s="14">
        <f t="shared" si="1"/>
        <v>0.2</v>
      </c>
      <c r="Q39" s="14">
        <f t="shared" si="2"/>
        <v>0.35</v>
      </c>
      <c r="R39" s="14">
        <f t="shared" si="3"/>
        <v>0.35</v>
      </c>
    </row>
    <row r="40" spans="1:18" x14ac:dyDescent="0.45">
      <c r="A40" s="8" t="s">
        <v>15</v>
      </c>
      <c r="B40" s="1">
        <v>7600000</v>
      </c>
      <c r="C40" s="2">
        <v>1010000</v>
      </c>
      <c r="D40" s="2">
        <v>1010000</v>
      </c>
      <c r="E40" s="2">
        <v>1655000</v>
      </c>
      <c r="F40" s="2">
        <v>1925000</v>
      </c>
      <c r="G40" s="10">
        <v>0.13289473684210526</v>
      </c>
      <c r="H40" s="10">
        <v>0.13289473684210526</v>
      </c>
      <c r="I40" s="10">
        <v>0.21776315789473685</v>
      </c>
      <c r="J40" s="10">
        <v>0.25328947368421051</v>
      </c>
      <c r="K40" s="9">
        <v>1.8136557610241855E-3</v>
      </c>
      <c r="L40" s="9">
        <v>1.8136557610241855E-3</v>
      </c>
      <c r="M40" s="9">
        <v>3.5739687055476588E-3</v>
      </c>
      <c r="N40" s="12">
        <v>2.61379800853484E-3</v>
      </c>
      <c r="O40" s="14">
        <f t="shared" si="0"/>
        <v>0.2</v>
      </c>
      <c r="P40" s="14">
        <f t="shared" si="1"/>
        <v>0.2</v>
      </c>
      <c r="Q40" s="14">
        <f t="shared" si="2"/>
        <v>0.35</v>
      </c>
      <c r="R40" s="14">
        <f t="shared" si="3"/>
        <v>0.35</v>
      </c>
    </row>
    <row r="41" spans="1:18" x14ac:dyDescent="0.45">
      <c r="A41" s="8" t="s">
        <v>15</v>
      </c>
      <c r="B41" s="1">
        <v>7800000</v>
      </c>
      <c r="C41" s="2">
        <v>1050000</v>
      </c>
      <c r="D41" s="2">
        <v>1050000</v>
      </c>
      <c r="E41" s="2">
        <v>1725000</v>
      </c>
      <c r="F41" s="2">
        <v>1995000</v>
      </c>
      <c r="G41" s="10">
        <v>0.13461538461538461</v>
      </c>
      <c r="H41" s="10">
        <v>0.13461538461538461</v>
      </c>
      <c r="I41" s="10">
        <v>0.22115384615384615</v>
      </c>
      <c r="J41" s="10">
        <v>0.25576923076923075</v>
      </c>
      <c r="K41" s="9">
        <v>1.720647773279349E-3</v>
      </c>
      <c r="L41" s="9">
        <v>1.720647773279349E-3</v>
      </c>
      <c r="M41" s="9">
        <v>3.3906882591092924E-3</v>
      </c>
      <c r="N41" s="12">
        <v>2.4797570850202399E-3</v>
      </c>
      <c r="O41" s="14">
        <f t="shared" si="0"/>
        <v>0.2</v>
      </c>
      <c r="P41" s="14">
        <f t="shared" si="1"/>
        <v>0.2</v>
      </c>
      <c r="Q41" s="14">
        <f t="shared" si="2"/>
        <v>0.35</v>
      </c>
      <c r="R41" s="14">
        <f t="shared" si="3"/>
        <v>0.35</v>
      </c>
    </row>
    <row r="42" spans="1:18" x14ac:dyDescent="0.45">
      <c r="A42" s="8" t="s">
        <v>15</v>
      </c>
      <c r="B42" s="1">
        <v>8000000</v>
      </c>
      <c r="C42" s="2">
        <v>1090000</v>
      </c>
      <c r="D42" s="2">
        <v>1090000</v>
      </c>
      <c r="E42" s="2">
        <v>1795000</v>
      </c>
      <c r="F42" s="2">
        <v>2065000</v>
      </c>
      <c r="G42" s="10">
        <v>0.13625000000000001</v>
      </c>
      <c r="H42" s="10">
        <v>0.13625000000000001</v>
      </c>
      <c r="I42" s="10">
        <v>0.22437499999999999</v>
      </c>
      <c r="J42" s="10">
        <v>0.25812499999999999</v>
      </c>
      <c r="K42" s="9">
        <v>1.634615384615401E-3</v>
      </c>
      <c r="L42" s="9">
        <v>1.634615384615401E-3</v>
      </c>
      <c r="M42" s="9">
        <v>3.2211538461538458E-3</v>
      </c>
      <c r="N42" s="12">
        <v>2.3557692307692446E-3</v>
      </c>
      <c r="O42" s="14">
        <f t="shared" si="0"/>
        <v>0.2</v>
      </c>
      <c r="P42" s="14">
        <f t="shared" si="1"/>
        <v>0.2</v>
      </c>
      <c r="Q42" s="14">
        <f t="shared" si="2"/>
        <v>0.35</v>
      </c>
      <c r="R42" s="14">
        <f t="shared" si="3"/>
        <v>0.35</v>
      </c>
    </row>
    <row r="43" spans="1:18" x14ac:dyDescent="0.45">
      <c r="A43" s="8" t="s">
        <v>15</v>
      </c>
      <c r="B43" s="1">
        <v>8200000</v>
      </c>
      <c r="C43" s="2">
        <v>1130000</v>
      </c>
      <c r="D43" s="2">
        <v>1140000</v>
      </c>
      <c r="E43" s="2">
        <v>1865000</v>
      </c>
      <c r="F43" s="2">
        <v>2135000</v>
      </c>
      <c r="G43" s="10">
        <v>0.1378048780487805</v>
      </c>
      <c r="H43" s="10">
        <v>0.13902439024390245</v>
      </c>
      <c r="I43" s="10">
        <v>0.22743902439024391</v>
      </c>
      <c r="J43" s="10">
        <v>0.26036585365853659</v>
      </c>
      <c r="K43" s="9">
        <v>1.5548780487804892E-3</v>
      </c>
      <c r="L43" s="9">
        <v>2.7743902439024415E-3</v>
      </c>
      <c r="M43" s="9">
        <v>3.064024390243919E-3</v>
      </c>
      <c r="N43" s="12">
        <v>2.2408536585366012E-3</v>
      </c>
      <c r="O43" s="14">
        <f t="shared" si="0"/>
        <v>0.2</v>
      </c>
      <c r="P43" s="14">
        <f t="shared" si="1"/>
        <v>0.25</v>
      </c>
      <c r="Q43" s="14">
        <f t="shared" si="2"/>
        <v>0.35</v>
      </c>
      <c r="R43" s="14">
        <f t="shared" si="3"/>
        <v>0.35</v>
      </c>
    </row>
    <row r="44" spans="1:18" x14ac:dyDescent="0.45">
      <c r="A44" s="8" t="s">
        <v>15</v>
      </c>
      <c r="B44" s="1">
        <v>8400000</v>
      </c>
      <c r="C44" s="2">
        <v>1170000</v>
      </c>
      <c r="D44" s="2">
        <v>1190000</v>
      </c>
      <c r="E44" s="2">
        <v>1935000</v>
      </c>
      <c r="F44" s="2">
        <v>2205000</v>
      </c>
      <c r="G44" s="10">
        <v>0.13928571428571429</v>
      </c>
      <c r="H44" s="10">
        <v>0.14166666666666666</v>
      </c>
      <c r="I44" s="10">
        <v>0.23035714285714284</v>
      </c>
      <c r="J44" s="10">
        <v>0.26250000000000001</v>
      </c>
      <c r="K44" s="9">
        <v>1.4808362369337913E-3</v>
      </c>
      <c r="L44" s="9">
        <v>2.6422764227642115E-3</v>
      </c>
      <c r="M44" s="9">
        <v>2.9181184668989335E-3</v>
      </c>
      <c r="N44" s="12">
        <v>2.1341463414634165E-3</v>
      </c>
      <c r="O44" s="14">
        <f t="shared" si="0"/>
        <v>0.2</v>
      </c>
      <c r="P44" s="14">
        <f t="shared" si="1"/>
        <v>0.25</v>
      </c>
      <c r="Q44" s="14">
        <f t="shared" si="2"/>
        <v>0.35</v>
      </c>
      <c r="R44" s="14">
        <f t="shared" si="3"/>
        <v>0.35</v>
      </c>
    </row>
    <row r="45" spans="1:18" x14ac:dyDescent="0.45">
      <c r="A45" s="8" t="s">
        <v>15</v>
      </c>
      <c r="B45" s="1">
        <v>8600000</v>
      </c>
      <c r="C45" s="2">
        <v>1210000</v>
      </c>
      <c r="D45" s="2">
        <v>1240000</v>
      </c>
      <c r="E45" s="2">
        <v>2005000</v>
      </c>
      <c r="F45" s="2">
        <v>2275000</v>
      </c>
      <c r="G45" s="10">
        <v>0.14069767441860465</v>
      </c>
      <c r="H45" s="10">
        <v>0.14418604651162792</v>
      </c>
      <c r="I45" s="10">
        <v>0.23313953488372094</v>
      </c>
      <c r="J45" s="10">
        <v>0.26453488372093026</v>
      </c>
      <c r="K45" s="9">
        <v>1.4119601328903553E-3</v>
      </c>
      <c r="L45" s="9">
        <v>2.5193798449612559E-3</v>
      </c>
      <c r="M45" s="9">
        <v>2.7823920265780955E-3</v>
      </c>
      <c r="N45" s="12">
        <v>2.0348837209302473E-3</v>
      </c>
      <c r="O45" s="14">
        <f t="shared" si="0"/>
        <v>0.2</v>
      </c>
      <c r="P45" s="14">
        <f t="shared" si="1"/>
        <v>0.25</v>
      </c>
      <c r="Q45" s="14">
        <f t="shared" si="2"/>
        <v>0.35</v>
      </c>
      <c r="R45" s="14">
        <f t="shared" si="3"/>
        <v>0.35</v>
      </c>
    </row>
    <row r="46" spans="1:18" x14ac:dyDescent="0.45">
      <c r="A46" s="8" t="s">
        <v>15</v>
      </c>
      <c r="B46" s="1">
        <v>8800000</v>
      </c>
      <c r="C46" s="2">
        <v>1250000</v>
      </c>
      <c r="D46" s="2">
        <v>1290000</v>
      </c>
      <c r="E46" s="2">
        <v>2075000</v>
      </c>
      <c r="F46" s="2">
        <v>2345000</v>
      </c>
      <c r="G46" s="10">
        <v>0.14204545454545456</v>
      </c>
      <c r="H46" s="10">
        <v>0.14659090909090908</v>
      </c>
      <c r="I46" s="10">
        <v>0.23579545454545456</v>
      </c>
      <c r="J46" s="10">
        <v>0.26647727272727273</v>
      </c>
      <c r="K46" s="9">
        <v>1.3477801268499123E-3</v>
      </c>
      <c r="L46" s="9">
        <v>2.4048625792811584E-3</v>
      </c>
      <c r="M46" s="9">
        <v>2.6559196617336189E-3</v>
      </c>
      <c r="N46" s="12">
        <v>1.9423890063424709E-3</v>
      </c>
      <c r="O46" s="14">
        <f t="shared" si="0"/>
        <v>0.2</v>
      </c>
      <c r="P46" s="14">
        <f t="shared" si="1"/>
        <v>0.25</v>
      </c>
      <c r="Q46" s="14">
        <f t="shared" si="2"/>
        <v>0.35</v>
      </c>
      <c r="R46" s="14">
        <f t="shared" si="3"/>
        <v>0.35</v>
      </c>
    </row>
    <row r="47" spans="1:18" x14ac:dyDescent="0.45">
      <c r="A47" s="8" t="s">
        <v>15</v>
      </c>
      <c r="B47" s="1">
        <v>9000000</v>
      </c>
      <c r="C47" s="2">
        <v>1290000</v>
      </c>
      <c r="D47" s="2">
        <v>1340000</v>
      </c>
      <c r="E47" s="2">
        <v>2145000</v>
      </c>
      <c r="F47" s="2">
        <v>2415000</v>
      </c>
      <c r="G47" s="10">
        <v>0.14333333333333334</v>
      </c>
      <c r="H47" s="10">
        <v>0.14888888888888888</v>
      </c>
      <c r="I47" s="10">
        <v>0.23833333333333334</v>
      </c>
      <c r="J47" s="10">
        <v>0.26833333333333331</v>
      </c>
      <c r="K47" s="9">
        <v>1.2878787878787823E-3</v>
      </c>
      <c r="L47" s="9">
        <v>2.2979797979797989E-3</v>
      </c>
      <c r="M47" s="9">
        <v>2.5378787878787834E-3</v>
      </c>
      <c r="N47" s="12">
        <v>1.8560606060605833E-3</v>
      </c>
      <c r="O47" s="14">
        <f t="shared" si="0"/>
        <v>0.2</v>
      </c>
      <c r="P47" s="14">
        <f t="shared" si="1"/>
        <v>0.25</v>
      </c>
      <c r="Q47" s="14">
        <f t="shared" si="2"/>
        <v>0.35</v>
      </c>
      <c r="R47" s="14">
        <f t="shared" si="3"/>
        <v>0.35</v>
      </c>
    </row>
    <row r="48" spans="1:18" x14ac:dyDescent="0.45">
      <c r="A48" s="8" t="s">
        <v>15</v>
      </c>
      <c r="B48" s="1">
        <v>9200000</v>
      </c>
      <c r="C48" s="2">
        <v>1330000</v>
      </c>
      <c r="D48" s="2">
        <v>1390000</v>
      </c>
      <c r="E48" s="2">
        <v>2215000</v>
      </c>
      <c r="F48" s="2">
        <v>2485000</v>
      </c>
      <c r="G48" s="10">
        <v>0.14456521739130435</v>
      </c>
      <c r="H48" s="10">
        <v>0.15108695652173912</v>
      </c>
      <c r="I48" s="10">
        <v>0.24076086956521739</v>
      </c>
      <c r="J48" s="10">
        <v>0.27010869565217394</v>
      </c>
      <c r="K48" s="9">
        <v>1.2318840579710055E-3</v>
      </c>
      <c r="L48" s="9">
        <v>2.1980676328502424E-3</v>
      </c>
      <c r="M48" s="9">
        <v>2.4275362318840477E-3</v>
      </c>
      <c r="N48" s="12">
        <v>1.7753623188406231E-3</v>
      </c>
      <c r="O48" s="14">
        <f t="shared" si="0"/>
        <v>0.2</v>
      </c>
      <c r="P48" s="14">
        <f t="shared" si="1"/>
        <v>0.25</v>
      </c>
      <c r="Q48" s="14">
        <f t="shared" si="2"/>
        <v>0.35</v>
      </c>
      <c r="R48" s="14">
        <f t="shared" si="3"/>
        <v>0.35</v>
      </c>
    </row>
    <row r="49" spans="1:18" x14ac:dyDescent="0.45">
      <c r="A49" s="8" t="s">
        <v>15</v>
      </c>
      <c r="B49" s="1">
        <v>9400000</v>
      </c>
      <c r="C49" s="2">
        <v>1370000</v>
      </c>
      <c r="D49" s="2">
        <v>1440000</v>
      </c>
      <c r="E49" s="2">
        <v>2285000</v>
      </c>
      <c r="F49" s="2">
        <v>2555000</v>
      </c>
      <c r="G49" s="10">
        <v>0.14574468085106382</v>
      </c>
      <c r="H49" s="10">
        <v>0.15319148936170213</v>
      </c>
      <c r="I49" s="10">
        <v>0.24308510638297873</v>
      </c>
      <c r="J49" s="10">
        <v>0.27180851063829786</v>
      </c>
      <c r="K49" s="9">
        <v>1.1794634597594722E-3</v>
      </c>
      <c r="L49" s="9">
        <v>2.1045328399630081E-3</v>
      </c>
      <c r="M49" s="9">
        <v>2.3242368177613382E-3</v>
      </c>
      <c r="N49" s="12">
        <v>1.6998149861239265E-3</v>
      </c>
      <c r="O49" s="14">
        <f t="shared" si="0"/>
        <v>0.2</v>
      </c>
      <c r="P49" s="14">
        <f t="shared" si="1"/>
        <v>0.25</v>
      </c>
      <c r="Q49" s="14">
        <f t="shared" si="2"/>
        <v>0.35</v>
      </c>
      <c r="R49" s="14">
        <f t="shared" si="3"/>
        <v>0.35</v>
      </c>
    </row>
    <row r="50" spans="1:18" x14ac:dyDescent="0.45">
      <c r="A50" s="8" t="s">
        <v>15</v>
      </c>
      <c r="B50" s="1">
        <v>9600000</v>
      </c>
      <c r="C50" s="2">
        <v>1410000</v>
      </c>
      <c r="D50" s="2">
        <v>1490000</v>
      </c>
      <c r="E50" s="2">
        <v>2355000</v>
      </c>
      <c r="F50" s="2">
        <v>2625000</v>
      </c>
      <c r="G50" s="10">
        <v>0.14687500000000001</v>
      </c>
      <c r="H50" s="10">
        <v>0.15520833333333334</v>
      </c>
      <c r="I50" s="10">
        <v>0.24531249999999999</v>
      </c>
      <c r="J50" s="10">
        <v>0.2734375</v>
      </c>
      <c r="K50" s="9">
        <v>1.1303191489361875E-3</v>
      </c>
      <c r="L50" s="9">
        <v>2.0168439716312103E-3</v>
      </c>
      <c r="M50" s="9">
        <v>2.2273936170212616E-3</v>
      </c>
      <c r="N50" s="12">
        <v>1.6289893617021378E-3</v>
      </c>
      <c r="O50" s="14">
        <f t="shared" si="0"/>
        <v>0.2</v>
      </c>
      <c r="P50" s="14">
        <f t="shared" si="1"/>
        <v>0.25</v>
      </c>
      <c r="Q50" s="14">
        <f t="shared" si="2"/>
        <v>0.35</v>
      </c>
      <c r="R50" s="14">
        <f t="shared" si="3"/>
        <v>0.35</v>
      </c>
    </row>
    <row r="51" spans="1:18" x14ac:dyDescent="0.45">
      <c r="A51" s="8" t="s">
        <v>15</v>
      </c>
      <c r="B51" s="1">
        <v>9800000</v>
      </c>
      <c r="C51" s="2">
        <v>1450000</v>
      </c>
      <c r="D51" s="2">
        <v>1540000</v>
      </c>
      <c r="E51" s="2">
        <v>2425000</v>
      </c>
      <c r="F51" s="2">
        <v>2695000</v>
      </c>
      <c r="G51" s="10">
        <v>0.14795918367346939</v>
      </c>
      <c r="H51" s="10">
        <v>0.15714285714285714</v>
      </c>
      <c r="I51" s="10">
        <v>0.24744897959183673</v>
      </c>
      <c r="J51" s="10">
        <v>0.27500000000000002</v>
      </c>
      <c r="K51" s="9">
        <v>1.0841836734693799E-3</v>
      </c>
      <c r="L51" s="9">
        <v>1.9345238095238027E-3</v>
      </c>
      <c r="M51" s="9">
        <v>2.136479591836743E-3</v>
      </c>
      <c r="N51" s="12">
        <v>1.5625000000000222E-3</v>
      </c>
      <c r="O51" s="14">
        <f t="shared" si="0"/>
        <v>0.2</v>
      </c>
      <c r="P51" s="14">
        <f t="shared" si="1"/>
        <v>0.25</v>
      </c>
      <c r="Q51" s="14">
        <f t="shared" si="2"/>
        <v>0.35</v>
      </c>
      <c r="R51" s="14">
        <f t="shared" si="3"/>
        <v>0.35</v>
      </c>
    </row>
    <row r="52" spans="1:18" x14ac:dyDescent="0.45">
      <c r="A52" s="8" t="s">
        <v>15</v>
      </c>
      <c r="B52" s="1">
        <v>10000000</v>
      </c>
      <c r="C52" s="2">
        <v>1490000</v>
      </c>
      <c r="D52" s="2">
        <v>1590000</v>
      </c>
      <c r="E52" s="2">
        <v>2495000</v>
      </c>
      <c r="F52" s="2">
        <v>2765000</v>
      </c>
      <c r="G52" s="10">
        <v>0.14899999999999999</v>
      </c>
      <c r="H52" s="10">
        <v>0.159</v>
      </c>
      <c r="I52" s="10">
        <v>0.2495</v>
      </c>
      <c r="J52" s="10">
        <v>0.27650000000000002</v>
      </c>
      <c r="K52" s="9">
        <v>1.0408163265306081E-3</v>
      </c>
      <c r="L52" s="9">
        <v>1.8571428571428628E-3</v>
      </c>
      <c r="M52" s="9">
        <v>2.0510204081632677E-3</v>
      </c>
      <c r="N52" s="12">
        <v>1.5000000000000013E-3</v>
      </c>
      <c r="O52" s="14">
        <f t="shared" si="0"/>
        <v>0.2</v>
      </c>
      <c r="P52" s="14">
        <f t="shared" si="1"/>
        <v>0.25</v>
      </c>
      <c r="Q52" s="14">
        <f t="shared" si="2"/>
        <v>0.35</v>
      </c>
      <c r="R52" s="14">
        <f t="shared" si="3"/>
        <v>0.35</v>
      </c>
    </row>
    <row r="53" spans="1:18" x14ac:dyDescent="0.45">
      <c r="A53" s="8" t="s">
        <v>15</v>
      </c>
      <c r="B53" s="1">
        <v>10200000</v>
      </c>
      <c r="C53" s="2">
        <v>1530000</v>
      </c>
      <c r="D53" s="2">
        <v>1640000</v>
      </c>
      <c r="E53" s="2">
        <v>2565000</v>
      </c>
      <c r="F53" s="2">
        <v>2835000</v>
      </c>
      <c r="G53" s="10">
        <v>0.15</v>
      </c>
      <c r="H53" s="10">
        <v>0.16078431372549021</v>
      </c>
      <c r="I53" s="10">
        <v>0.25147058823529411</v>
      </c>
      <c r="J53" s="10">
        <v>0.27794117647058825</v>
      </c>
      <c r="K53" s="9">
        <v>1.0000000000000009E-3</v>
      </c>
      <c r="L53" s="9">
        <v>1.7843137254902053E-3</v>
      </c>
      <c r="M53" s="9">
        <v>1.9705882352941129E-3</v>
      </c>
      <c r="N53" s="12">
        <v>1.4411764705882235E-3</v>
      </c>
      <c r="O53" s="14">
        <f t="shared" si="0"/>
        <v>0.2</v>
      </c>
      <c r="P53" s="14">
        <f t="shared" si="1"/>
        <v>0.25</v>
      </c>
      <c r="Q53" s="14">
        <f t="shared" si="2"/>
        <v>0.35</v>
      </c>
      <c r="R53" s="14">
        <f t="shared" si="3"/>
        <v>0.35</v>
      </c>
    </row>
    <row r="54" spans="1:18" x14ac:dyDescent="0.45">
      <c r="A54" s="8" t="s">
        <v>15</v>
      </c>
      <c r="B54" s="1">
        <v>10400000</v>
      </c>
      <c r="C54" s="2">
        <v>1570000</v>
      </c>
      <c r="D54" s="2">
        <v>1690000</v>
      </c>
      <c r="E54" s="2">
        <v>2635000</v>
      </c>
      <c r="F54" s="2">
        <v>2905000</v>
      </c>
      <c r="G54" s="10">
        <v>0.15096153846153845</v>
      </c>
      <c r="H54" s="10">
        <v>0.16250000000000001</v>
      </c>
      <c r="I54" s="10">
        <v>0.2533653846153846</v>
      </c>
      <c r="J54" s="10">
        <v>0.27932692307692308</v>
      </c>
      <c r="K54" s="9">
        <v>9.6153846153845812E-4</v>
      </c>
      <c r="L54" s="9">
        <v>1.7156862745097978E-3</v>
      </c>
      <c r="M54" s="9">
        <v>1.894796380090491E-3</v>
      </c>
      <c r="N54" s="12">
        <v>1.3857466063348367E-3</v>
      </c>
      <c r="O54" s="14">
        <f t="shared" si="0"/>
        <v>0.2</v>
      </c>
      <c r="P54" s="14">
        <f t="shared" si="1"/>
        <v>0.25</v>
      </c>
      <c r="Q54" s="14">
        <f t="shared" si="2"/>
        <v>0.35</v>
      </c>
      <c r="R54" s="14">
        <f t="shared" si="3"/>
        <v>0.35</v>
      </c>
    </row>
    <row r="55" spans="1:18" x14ac:dyDescent="0.45">
      <c r="A55" s="8" t="s">
        <v>15</v>
      </c>
      <c r="B55" s="1">
        <v>10600000</v>
      </c>
      <c r="C55" s="2">
        <v>1610000</v>
      </c>
      <c r="D55" s="2">
        <v>1740000</v>
      </c>
      <c r="E55" s="2">
        <v>2705000</v>
      </c>
      <c r="F55" s="2">
        <v>2975000</v>
      </c>
      <c r="G55" s="10">
        <v>0.15188679245283018</v>
      </c>
      <c r="H55" s="10">
        <v>0.16415094339622641</v>
      </c>
      <c r="I55" s="10">
        <v>0.25518867924528305</v>
      </c>
      <c r="J55" s="10">
        <v>0.28066037735849059</v>
      </c>
      <c r="K55" s="9">
        <v>9.2525399129173014E-4</v>
      </c>
      <c r="L55" s="9">
        <v>1.6509433962264008E-3</v>
      </c>
      <c r="M55" s="9">
        <v>1.823294629898442E-3</v>
      </c>
      <c r="N55" s="12">
        <v>1.3334542815675032E-3</v>
      </c>
      <c r="O55" s="14">
        <f t="shared" si="0"/>
        <v>0.2</v>
      </c>
      <c r="P55" s="14">
        <f t="shared" si="1"/>
        <v>0.25</v>
      </c>
      <c r="Q55" s="14">
        <f t="shared" si="2"/>
        <v>0.35</v>
      </c>
      <c r="R55" s="14">
        <f t="shared" si="3"/>
        <v>0.35</v>
      </c>
    </row>
    <row r="56" spans="1:18" x14ac:dyDescent="0.45">
      <c r="A56" s="8" t="s">
        <v>15</v>
      </c>
      <c r="B56" s="1">
        <v>10800000</v>
      </c>
      <c r="C56" s="2">
        <v>1650000</v>
      </c>
      <c r="D56" s="2">
        <v>1790000</v>
      </c>
      <c r="E56" s="2">
        <v>2775000</v>
      </c>
      <c r="F56" s="2">
        <v>3045000</v>
      </c>
      <c r="G56" s="10">
        <v>0.15277777777777779</v>
      </c>
      <c r="H56" s="10">
        <v>0.16574074074074074</v>
      </c>
      <c r="I56" s="10">
        <v>0.25694444444444442</v>
      </c>
      <c r="J56" s="10">
        <v>0.28194444444444444</v>
      </c>
      <c r="K56" s="9">
        <v>8.909853249476074E-4</v>
      </c>
      <c r="L56" s="9">
        <v>1.5897973445143376E-3</v>
      </c>
      <c r="M56" s="9">
        <v>1.7557651991613743E-3</v>
      </c>
      <c r="N56" s="12">
        <v>1.284067085953855E-3</v>
      </c>
      <c r="O56" s="14">
        <f t="shared" si="0"/>
        <v>0.2</v>
      </c>
      <c r="P56" s="14">
        <f t="shared" si="1"/>
        <v>0.25</v>
      </c>
      <c r="Q56" s="14">
        <f t="shared" si="2"/>
        <v>0.35</v>
      </c>
      <c r="R56" s="14">
        <f t="shared" si="3"/>
        <v>0.35</v>
      </c>
    </row>
    <row r="57" spans="1:18" x14ac:dyDescent="0.45">
      <c r="A57" s="8" t="s">
        <v>15</v>
      </c>
      <c r="B57" s="1">
        <v>11000000</v>
      </c>
      <c r="C57" s="2">
        <v>1690000</v>
      </c>
      <c r="D57" s="2">
        <v>1840000</v>
      </c>
      <c r="E57" s="2">
        <v>2845000</v>
      </c>
      <c r="F57" s="2">
        <v>3115000</v>
      </c>
      <c r="G57" s="10">
        <v>0.15363636363636363</v>
      </c>
      <c r="H57" s="10">
        <v>0.16727272727272727</v>
      </c>
      <c r="I57" s="10">
        <v>0.25863636363636361</v>
      </c>
      <c r="J57" s="10">
        <v>0.2831818181818182</v>
      </c>
      <c r="K57" s="9">
        <v>8.5858585858583636E-4</v>
      </c>
      <c r="L57" s="9">
        <v>1.5319865319865233E-3</v>
      </c>
      <c r="M57" s="9">
        <v>1.6919191919191889E-3</v>
      </c>
      <c r="N57" s="12">
        <v>1.2373737373737592E-3</v>
      </c>
      <c r="O57" s="14">
        <f t="shared" si="0"/>
        <v>0.2</v>
      </c>
      <c r="P57" s="14">
        <f t="shared" si="1"/>
        <v>0.25</v>
      </c>
      <c r="Q57" s="14">
        <f t="shared" si="2"/>
        <v>0.35</v>
      </c>
      <c r="R57" s="14">
        <f t="shared" si="3"/>
        <v>0.35</v>
      </c>
    </row>
    <row r="58" spans="1:18" x14ac:dyDescent="0.45">
      <c r="A58" s="8" t="s">
        <v>15</v>
      </c>
      <c r="B58" s="1">
        <v>11200000</v>
      </c>
      <c r="C58" s="2">
        <v>1730000</v>
      </c>
      <c r="D58" s="2">
        <v>1890000</v>
      </c>
      <c r="E58" s="2">
        <v>2915000</v>
      </c>
      <c r="F58" s="2">
        <v>3185000</v>
      </c>
      <c r="G58" s="10">
        <v>0.15446428571428572</v>
      </c>
      <c r="H58" s="10">
        <v>0.16875000000000001</v>
      </c>
      <c r="I58" s="10">
        <v>0.26026785714285716</v>
      </c>
      <c r="J58" s="10">
        <v>0.28437499999999999</v>
      </c>
      <c r="K58" s="9">
        <v>8.2792207792209416E-4</v>
      </c>
      <c r="L58" s="9">
        <v>1.4772727272727437E-3</v>
      </c>
      <c r="M58" s="9">
        <v>1.6314935064935532E-3</v>
      </c>
      <c r="N58" s="12">
        <v>1.1931818181817877E-3</v>
      </c>
      <c r="O58" s="14">
        <f t="shared" si="0"/>
        <v>0.2</v>
      </c>
      <c r="P58" s="14">
        <f t="shared" si="1"/>
        <v>0.25</v>
      </c>
      <c r="Q58" s="14">
        <f t="shared" si="2"/>
        <v>0.35</v>
      </c>
      <c r="R58" s="14">
        <f t="shared" si="3"/>
        <v>0.35</v>
      </c>
    </row>
    <row r="59" spans="1:18" x14ac:dyDescent="0.45">
      <c r="A59" s="8" t="s">
        <v>15</v>
      </c>
      <c r="B59" s="1">
        <v>11400000</v>
      </c>
      <c r="C59" s="2">
        <v>1770000</v>
      </c>
      <c r="D59" s="2">
        <v>1940000</v>
      </c>
      <c r="E59" s="2">
        <v>2985000</v>
      </c>
      <c r="F59" s="2">
        <v>3255000</v>
      </c>
      <c r="G59" s="10">
        <v>0.15526315789473685</v>
      </c>
      <c r="H59" s="10">
        <v>0.17017543859649123</v>
      </c>
      <c r="I59" s="10">
        <v>0.26184210526315788</v>
      </c>
      <c r="J59" s="10">
        <v>0.28552631578947368</v>
      </c>
      <c r="K59" s="9">
        <v>7.9887218045113229E-4</v>
      </c>
      <c r="L59" s="9">
        <v>1.4254385964912186E-3</v>
      </c>
      <c r="M59" s="9">
        <v>1.5742481203007141E-3</v>
      </c>
      <c r="N59" s="12">
        <v>1.1513157894736947E-3</v>
      </c>
      <c r="O59" s="14">
        <f t="shared" si="0"/>
        <v>0.2</v>
      </c>
      <c r="P59" s="14">
        <f t="shared" si="1"/>
        <v>0.25</v>
      </c>
      <c r="Q59" s="14">
        <f t="shared" si="2"/>
        <v>0.35</v>
      </c>
      <c r="R59" s="14">
        <f t="shared" si="3"/>
        <v>0.35</v>
      </c>
    </row>
    <row r="60" spans="1:18" x14ac:dyDescent="0.45">
      <c r="A60" s="8" t="s">
        <v>15</v>
      </c>
      <c r="B60" s="1">
        <v>11600000</v>
      </c>
      <c r="C60" s="2">
        <v>1810000</v>
      </c>
      <c r="D60" s="2">
        <v>1990000</v>
      </c>
      <c r="E60" s="2">
        <v>3055000</v>
      </c>
      <c r="F60" s="2">
        <v>3325000</v>
      </c>
      <c r="G60" s="10">
        <v>0.1560344827586207</v>
      </c>
      <c r="H60" s="10">
        <v>0.17155172413793104</v>
      </c>
      <c r="I60" s="10">
        <v>0.26336206896551723</v>
      </c>
      <c r="J60" s="10">
        <v>0.28663793103448276</v>
      </c>
      <c r="K60" s="9">
        <v>7.7132486388384325E-4</v>
      </c>
      <c r="L60" s="9">
        <v>1.3762855414398145E-3</v>
      </c>
      <c r="M60" s="9">
        <v>1.5199637023593504E-3</v>
      </c>
      <c r="N60" s="12">
        <v>1.1116152450090788E-3</v>
      </c>
      <c r="O60" s="14">
        <f t="shared" si="0"/>
        <v>0.2</v>
      </c>
      <c r="P60" s="14">
        <f t="shared" si="1"/>
        <v>0.25</v>
      </c>
      <c r="Q60" s="14">
        <f t="shared" si="2"/>
        <v>0.35</v>
      </c>
      <c r="R60" s="14">
        <f t="shared" si="3"/>
        <v>0.35</v>
      </c>
    </row>
    <row r="61" spans="1:18" x14ac:dyDescent="0.45">
      <c r="A61" s="8" t="s">
        <v>15</v>
      </c>
      <c r="B61" s="1">
        <v>11800000</v>
      </c>
      <c r="C61" s="2">
        <v>1850000</v>
      </c>
      <c r="D61" s="2">
        <v>2040000</v>
      </c>
      <c r="E61" s="2">
        <v>3125000</v>
      </c>
      <c r="F61" s="2">
        <v>3395000</v>
      </c>
      <c r="G61" s="10">
        <v>0.15677966101694915</v>
      </c>
      <c r="H61" s="10">
        <v>0.17288135593220338</v>
      </c>
      <c r="I61" s="10">
        <v>0.26483050847457629</v>
      </c>
      <c r="J61" s="10">
        <v>0.28771186440677965</v>
      </c>
      <c r="K61" s="9">
        <v>7.4517825832845497E-4</v>
      </c>
      <c r="L61" s="9">
        <v>1.3296317942723401E-3</v>
      </c>
      <c r="M61" s="9">
        <v>1.4684395090590607E-3</v>
      </c>
      <c r="N61" s="12">
        <v>1.0739333722968869E-3</v>
      </c>
      <c r="O61" s="14">
        <f t="shared" si="0"/>
        <v>0.2</v>
      </c>
      <c r="P61" s="14">
        <f t="shared" si="1"/>
        <v>0.25</v>
      </c>
      <c r="Q61" s="14">
        <f t="shared" si="2"/>
        <v>0.35</v>
      </c>
      <c r="R61" s="14">
        <f t="shared" si="3"/>
        <v>0.35</v>
      </c>
    </row>
    <row r="62" spans="1:18" x14ac:dyDescent="0.45">
      <c r="A62" s="8" t="s">
        <v>15</v>
      </c>
      <c r="B62" s="1">
        <v>12000000</v>
      </c>
      <c r="C62" s="2">
        <v>1890000</v>
      </c>
      <c r="D62" s="2">
        <v>2090000</v>
      </c>
      <c r="E62" s="2">
        <v>3195000</v>
      </c>
      <c r="F62" s="2">
        <v>3465000</v>
      </c>
      <c r="G62" s="10">
        <v>0.1575</v>
      </c>
      <c r="H62" s="10">
        <v>0.17416666666666666</v>
      </c>
      <c r="I62" s="10">
        <v>0.26624999999999999</v>
      </c>
      <c r="J62" s="10">
        <v>0.28875000000000001</v>
      </c>
      <c r="K62" s="9">
        <v>7.2033898305084998E-4</v>
      </c>
      <c r="L62" s="9">
        <v>1.2853107344632797E-3</v>
      </c>
      <c r="M62" s="9">
        <v>1.4194915254236995E-3</v>
      </c>
      <c r="N62" s="12">
        <v>1.0381355932203573E-3</v>
      </c>
      <c r="O62" s="14">
        <f t="shared" si="0"/>
        <v>0.2</v>
      </c>
      <c r="P62" s="14">
        <f t="shared" si="1"/>
        <v>0.25</v>
      </c>
      <c r="Q62" s="14">
        <f t="shared" si="2"/>
        <v>0.35</v>
      </c>
      <c r="R62" s="14">
        <f t="shared" si="3"/>
        <v>0.35</v>
      </c>
    </row>
    <row r="63" spans="1:18" x14ac:dyDescent="0.45">
      <c r="A63" s="8" t="s">
        <v>15</v>
      </c>
      <c r="B63" s="1">
        <v>12200000</v>
      </c>
      <c r="C63" s="2">
        <v>1930000</v>
      </c>
      <c r="D63" s="2">
        <v>2140000</v>
      </c>
      <c r="E63" s="2">
        <v>3265000</v>
      </c>
      <c r="F63" s="2">
        <v>3535000</v>
      </c>
      <c r="G63" s="10">
        <v>0.15819672131147541</v>
      </c>
      <c r="H63" s="10">
        <v>0.17540983606557378</v>
      </c>
      <c r="I63" s="10">
        <v>0.26762295081967213</v>
      </c>
      <c r="J63" s="10">
        <v>0.28975409836065574</v>
      </c>
      <c r="K63" s="9">
        <v>6.9672131147541227E-4</v>
      </c>
      <c r="L63" s="9">
        <v>1.243169398907118E-3</v>
      </c>
      <c r="M63" s="9">
        <v>1.3729508196721474E-3</v>
      </c>
      <c r="N63" s="12">
        <v>1.0040983606557363E-3</v>
      </c>
      <c r="O63" s="14">
        <f t="shared" si="0"/>
        <v>0.2</v>
      </c>
      <c r="P63" s="14">
        <f t="shared" si="1"/>
        <v>0.25</v>
      </c>
      <c r="Q63" s="14">
        <f t="shared" si="2"/>
        <v>0.35</v>
      </c>
      <c r="R63" s="14">
        <f t="shared" si="3"/>
        <v>0.35</v>
      </c>
    </row>
    <row r="64" spans="1:18" x14ac:dyDescent="0.45">
      <c r="A64" s="8" t="s">
        <v>15</v>
      </c>
      <c r="B64" s="1">
        <v>12400000</v>
      </c>
      <c r="C64" s="2">
        <v>1970000</v>
      </c>
      <c r="D64" s="2">
        <v>2190000</v>
      </c>
      <c r="E64" s="2">
        <v>3335000</v>
      </c>
      <c r="F64" s="2">
        <v>3605000</v>
      </c>
      <c r="G64" s="10">
        <v>0.15887096774193549</v>
      </c>
      <c r="H64" s="10">
        <v>0.17661290322580644</v>
      </c>
      <c r="I64" s="10">
        <v>0.26895161290322583</v>
      </c>
      <c r="J64" s="10">
        <v>0.29072580645161289</v>
      </c>
      <c r="K64" s="9">
        <v>6.7424643046007371E-4</v>
      </c>
      <c r="L64" s="9">
        <v>1.2030671602326626E-3</v>
      </c>
      <c r="M64" s="9">
        <v>1.3286620835537E-3</v>
      </c>
      <c r="N64" s="12">
        <v>9.7170809095714628E-4</v>
      </c>
      <c r="O64" s="14">
        <f t="shared" si="0"/>
        <v>0.2</v>
      </c>
      <c r="P64" s="14">
        <f t="shared" si="1"/>
        <v>0.25</v>
      </c>
      <c r="Q64" s="14">
        <f t="shared" si="2"/>
        <v>0.35</v>
      </c>
      <c r="R64" s="14">
        <f t="shared" si="3"/>
        <v>0.35</v>
      </c>
    </row>
    <row r="65" spans="1:18" x14ac:dyDescent="0.45">
      <c r="A65" s="8" t="s">
        <v>15</v>
      </c>
      <c r="B65" s="1">
        <v>12600000</v>
      </c>
      <c r="C65" s="2">
        <v>2010000</v>
      </c>
      <c r="D65" s="2">
        <v>2240000</v>
      </c>
      <c r="E65" s="2">
        <v>3405000</v>
      </c>
      <c r="F65" s="2">
        <v>3675000</v>
      </c>
      <c r="G65" s="10">
        <v>0.15952380952380951</v>
      </c>
      <c r="H65" s="10">
        <v>0.17777777777777778</v>
      </c>
      <c r="I65" s="10">
        <v>0.27023809523809522</v>
      </c>
      <c r="J65" s="10">
        <v>0.29166666666666669</v>
      </c>
      <c r="K65" s="9">
        <v>6.5284178187402508E-4</v>
      </c>
      <c r="L65" s="9">
        <v>1.1648745519713399E-3</v>
      </c>
      <c r="M65" s="9">
        <v>1.2864823348693877E-3</v>
      </c>
      <c r="N65" s="12">
        <v>9.4086021505379591E-4</v>
      </c>
      <c r="O65" s="14">
        <f t="shared" si="0"/>
        <v>0.2</v>
      </c>
      <c r="P65" s="14">
        <f t="shared" si="1"/>
        <v>0.25</v>
      </c>
      <c r="Q65" s="14">
        <f t="shared" si="2"/>
        <v>0.35</v>
      </c>
      <c r="R65" s="14">
        <f t="shared" si="3"/>
        <v>0.35</v>
      </c>
    </row>
    <row r="66" spans="1:18" x14ac:dyDescent="0.45">
      <c r="A66" s="8" t="s">
        <v>15</v>
      </c>
      <c r="B66" s="1">
        <v>12800000</v>
      </c>
      <c r="C66" s="2">
        <v>2050000</v>
      </c>
      <c r="D66" s="2">
        <v>2290000</v>
      </c>
      <c r="E66" s="2">
        <v>3475000</v>
      </c>
      <c r="F66" s="2">
        <v>3745000</v>
      </c>
      <c r="G66" s="10">
        <v>0.16015625</v>
      </c>
      <c r="H66" s="10">
        <v>0.17890624999999999</v>
      </c>
      <c r="I66" s="10">
        <v>0.271484375</v>
      </c>
      <c r="J66" s="10">
        <v>0.29257812500000002</v>
      </c>
      <c r="K66" s="9">
        <v>6.3244047619048782E-4</v>
      </c>
      <c r="L66" s="9">
        <v>1.1284722222222043E-3</v>
      </c>
      <c r="M66" s="9">
        <v>1.2462797619047783E-3</v>
      </c>
      <c r="N66" s="12">
        <v>9.1145833333333703E-4</v>
      </c>
      <c r="O66" s="14">
        <f t="shared" si="0"/>
        <v>0.2</v>
      </c>
      <c r="P66" s="14">
        <f t="shared" si="1"/>
        <v>0.25</v>
      </c>
      <c r="Q66" s="14">
        <f t="shared" si="2"/>
        <v>0.35</v>
      </c>
      <c r="R66" s="14">
        <f t="shared" si="3"/>
        <v>0.35</v>
      </c>
    </row>
    <row r="67" spans="1:18" x14ac:dyDescent="0.45">
      <c r="A67" s="8" t="s">
        <v>15</v>
      </c>
      <c r="B67" s="1">
        <v>13000000</v>
      </c>
      <c r="C67" s="2">
        <v>2090000</v>
      </c>
      <c r="D67" s="2">
        <v>2340000</v>
      </c>
      <c r="E67" s="2">
        <v>3545000</v>
      </c>
      <c r="F67" s="2">
        <v>3815000</v>
      </c>
      <c r="G67" s="10">
        <v>0.16076923076923078</v>
      </c>
      <c r="H67" s="10">
        <v>0.18</v>
      </c>
      <c r="I67" s="10">
        <v>0.27269230769230768</v>
      </c>
      <c r="J67" s="10">
        <v>0.29346153846153844</v>
      </c>
      <c r="K67" s="9">
        <v>6.1298076923077538E-4</v>
      </c>
      <c r="L67" s="9">
        <v>1.0937500000000044E-3</v>
      </c>
      <c r="M67" s="9">
        <v>1.2079326923076783E-3</v>
      </c>
      <c r="N67" s="12">
        <v>8.8341346153841815E-4</v>
      </c>
      <c r="O67" s="14">
        <f t="shared" ref="O67:O100" si="4">IF(B67&lt;=1200000,0,IF(B67&lt;=2500000,0.05,  IF(B67&lt;=4000000,0.15, 0.2)))</f>
        <v>0.2</v>
      </c>
      <c r="P67" s="14">
        <f t="shared" ref="P67:P100" si="5">IF(B67&lt;=1200000,0,IF(B67&lt;=2500000,0.05,IF(B67&lt;=4000000,0.15,IF(B67&lt;=8000000,0.2,0.25))))</f>
        <v>0.25</v>
      </c>
      <c r="Q67" s="14">
        <f t="shared" ref="Q67:Q100" si="6">IF(B67&lt;=600000,0,IF(B67&lt;=1200000,0.025,IF(B67&lt;=2400000,0.125,IF(B67&lt;=3600000,0.225,IF(B67&lt;=6000000,0.275,0.35)))))</f>
        <v>0.35</v>
      </c>
      <c r="R67" s="14">
        <f t="shared" ref="R67:R100" si="7">IF(B67&lt;=600000,0,IF(B67&lt;=1200000,0.05,IF(B67&lt;=2200000,0.15,IF(B67&lt;=3200000,0.25,IF(B67&lt;=4100000,0.3,0.35)))))</f>
        <v>0.35</v>
      </c>
    </row>
    <row r="68" spans="1:18" x14ac:dyDescent="0.45">
      <c r="A68" s="8" t="s">
        <v>15</v>
      </c>
      <c r="B68" s="1">
        <v>13200000</v>
      </c>
      <c r="C68" s="2">
        <v>2130000</v>
      </c>
      <c r="D68" s="2">
        <v>2390000</v>
      </c>
      <c r="E68" s="2">
        <v>3615000</v>
      </c>
      <c r="F68" s="2">
        <v>3885000</v>
      </c>
      <c r="G68" s="10">
        <v>0.16136363636363638</v>
      </c>
      <c r="H68" s="10">
        <v>0.18106060606060606</v>
      </c>
      <c r="I68" s="10">
        <v>0.27386363636363636</v>
      </c>
      <c r="J68" s="10">
        <v>0.29431818181818181</v>
      </c>
      <c r="K68" s="9">
        <v>5.9440559440560037E-4</v>
      </c>
      <c r="L68" s="9">
        <v>1.0606060606060674E-3</v>
      </c>
      <c r="M68" s="9">
        <v>1.1713286713286863E-3</v>
      </c>
      <c r="N68" s="12">
        <v>8.5664335664337177E-4</v>
      </c>
      <c r="O68" s="14">
        <f t="shared" si="4"/>
        <v>0.2</v>
      </c>
      <c r="P68" s="14">
        <f t="shared" si="5"/>
        <v>0.25</v>
      </c>
      <c r="Q68" s="14">
        <f t="shared" si="6"/>
        <v>0.35</v>
      </c>
      <c r="R68" s="14">
        <f t="shared" si="7"/>
        <v>0.35</v>
      </c>
    </row>
    <row r="69" spans="1:18" x14ac:dyDescent="0.45">
      <c r="A69" s="8" t="s">
        <v>15</v>
      </c>
      <c r="B69" s="1">
        <v>13400000</v>
      </c>
      <c r="C69" s="2">
        <v>2170000</v>
      </c>
      <c r="D69" s="2">
        <v>2440000</v>
      </c>
      <c r="E69" s="2">
        <v>3685000</v>
      </c>
      <c r="F69" s="2">
        <v>3955000</v>
      </c>
      <c r="G69" s="10">
        <v>0.16194029850746269</v>
      </c>
      <c r="H69" s="10">
        <v>0.18208955223880596</v>
      </c>
      <c r="I69" s="10">
        <v>0.27500000000000002</v>
      </c>
      <c r="J69" s="10">
        <v>0.29514925373134326</v>
      </c>
      <c r="K69" s="9">
        <v>5.7666214382631753E-4</v>
      </c>
      <c r="L69" s="9">
        <v>1.0289461781999021E-3</v>
      </c>
      <c r="M69" s="9">
        <v>1.1363636363636576E-3</v>
      </c>
      <c r="N69" s="12">
        <v>8.310719131614519E-4</v>
      </c>
      <c r="O69" s="14">
        <f t="shared" si="4"/>
        <v>0.2</v>
      </c>
      <c r="P69" s="14">
        <f t="shared" si="5"/>
        <v>0.25</v>
      </c>
      <c r="Q69" s="14">
        <f t="shared" si="6"/>
        <v>0.35</v>
      </c>
      <c r="R69" s="14">
        <f t="shared" si="7"/>
        <v>0.35</v>
      </c>
    </row>
    <row r="70" spans="1:18" x14ac:dyDescent="0.45">
      <c r="A70" s="8" t="s">
        <v>15</v>
      </c>
      <c r="B70" s="1">
        <v>13600000</v>
      </c>
      <c r="C70" s="2">
        <v>2210000</v>
      </c>
      <c r="D70" s="2">
        <v>2490000</v>
      </c>
      <c r="E70" s="2">
        <v>3755000</v>
      </c>
      <c r="F70" s="2">
        <v>4025000</v>
      </c>
      <c r="G70" s="10">
        <v>0.16250000000000001</v>
      </c>
      <c r="H70" s="10">
        <v>0.18308823529411763</v>
      </c>
      <c r="I70" s="10">
        <v>0.27610294117647061</v>
      </c>
      <c r="J70" s="10">
        <v>0.29595588235294118</v>
      </c>
      <c r="K70" s="9">
        <v>5.5970149253731227E-4</v>
      </c>
      <c r="L70" s="9">
        <v>9.9868305531167212E-4</v>
      </c>
      <c r="M70" s="9">
        <v>1.1029411764705843E-3</v>
      </c>
      <c r="N70" s="12">
        <v>8.0662862159791571E-4</v>
      </c>
      <c r="O70" s="14">
        <f t="shared" si="4"/>
        <v>0.2</v>
      </c>
      <c r="P70" s="14">
        <f t="shared" si="5"/>
        <v>0.25</v>
      </c>
      <c r="Q70" s="14">
        <f t="shared" si="6"/>
        <v>0.35</v>
      </c>
      <c r="R70" s="14">
        <f t="shared" si="7"/>
        <v>0.35</v>
      </c>
    </row>
    <row r="71" spans="1:18" x14ac:dyDescent="0.45">
      <c r="A71" s="8" t="s">
        <v>15</v>
      </c>
      <c r="B71" s="1">
        <v>13800000</v>
      </c>
      <c r="C71" s="2">
        <v>2250000</v>
      </c>
      <c r="D71" s="2">
        <v>2540000</v>
      </c>
      <c r="E71" s="2">
        <v>3825000</v>
      </c>
      <c r="F71" s="2">
        <v>4095000</v>
      </c>
      <c r="G71" s="10">
        <v>0.16304347826086957</v>
      </c>
      <c r="H71" s="10">
        <v>0.18405797101449275</v>
      </c>
      <c r="I71" s="10">
        <v>0.27717391304347827</v>
      </c>
      <c r="J71" s="10">
        <v>0.29673913043478262</v>
      </c>
      <c r="K71" s="9">
        <v>5.4347826086956208E-4</v>
      </c>
      <c r="L71" s="9">
        <v>9.6973572037512001E-4</v>
      </c>
      <c r="M71" s="9">
        <v>1.070971867007664E-3</v>
      </c>
      <c r="N71" s="12">
        <v>7.8324808184143668E-4</v>
      </c>
      <c r="O71" s="14">
        <f t="shared" si="4"/>
        <v>0.2</v>
      </c>
      <c r="P71" s="14">
        <f t="shared" si="5"/>
        <v>0.25</v>
      </c>
      <c r="Q71" s="14">
        <f t="shared" si="6"/>
        <v>0.35</v>
      </c>
      <c r="R71" s="14">
        <f t="shared" si="7"/>
        <v>0.35</v>
      </c>
    </row>
    <row r="72" spans="1:18" x14ac:dyDescent="0.45">
      <c r="A72" s="8" t="s">
        <v>15</v>
      </c>
      <c r="B72" s="1">
        <v>14000000</v>
      </c>
      <c r="C72" s="2">
        <v>2290000</v>
      </c>
      <c r="D72" s="2">
        <v>2590000</v>
      </c>
      <c r="E72" s="2">
        <v>3895000</v>
      </c>
      <c r="F72" s="2">
        <v>4165000</v>
      </c>
      <c r="G72" s="10">
        <v>0.16357142857142856</v>
      </c>
      <c r="H72" s="10">
        <v>0.185</v>
      </c>
      <c r="I72" s="10">
        <v>0.27821428571428569</v>
      </c>
      <c r="J72" s="10">
        <v>0.29749999999999999</v>
      </c>
      <c r="K72" s="9">
        <v>5.2795031055899444E-4</v>
      </c>
      <c r="L72" s="9">
        <v>9.4202898550724279E-4</v>
      </c>
      <c r="M72" s="9">
        <v>1.0403726708074212E-3</v>
      </c>
      <c r="N72" s="12">
        <v>7.6086956521737026E-4</v>
      </c>
      <c r="O72" s="14">
        <f t="shared" si="4"/>
        <v>0.2</v>
      </c>
      <c r="P72" s="14">
        <f t="shared" si="5"/>
        <v>0.25</v>
      </c>
      <c r="Q72" s="14">
        <f t="shared" si="6"/>
        <v>0.35</v>
      </c>
      <c r="R72" s="14">
        <f t="shared" si="7"/>
        <v>0.35</v>
      </c>
    </row>
    <row r="73" spans="1:18" x14ac:dyDescent="0.45">
      <c r="A73" s="8" t="s">
        <v>15</v>
      </c>
      <c r="B73" s="1">
        <v>14200000</v>
      </c>
      <c r="C73" s="2">
        <v>2330000</v>
      </c>
      <c r="D73" s="2">
        <v>2640000</v>
      </c>
      <c r="E73" s="2">
        <v>3965000</v>
      </c>
      <c r="F73" s="2">
        <v>4235000</v>
      </c>
      <c r="G73" s="10">
        <v>0.16408450704225352</v>
      </c>
      <c r="H73" s="10">
        <v>0.18591549295774648</v>
      </c>
      <c r="I73" s="10">
        <v>0.27922535211267607</v>
      </c>
      <c r="J73" s="10">
        <v>0.2982394366197183</v>
      </c>
      <c r="K73" s="9">
        <v>5.130784708249625E-4</v>
      </c>
      <c r="L73" s="9">
        <v>9.154929577464832E-4</v>
      </c>
      <c r="M73" s="9">
        <v>1.0110663983903811E-3</v>
      </c>
      <c r="N73" s="12">
        <v>7.3943661971831443E-4</v>
      </c>
      <c r="O73" s="14">
        <f t="shared" si="4"/>
        <v>0.2</v>
      </c>
      <c r="P73" s="14">
        <f t="shared" si="5"/>
        <v>0.25</v>
      </c>
      <c r="Q73" s="14">
        <f t="shared" si="6"/>
        <v>0.35</v>
      </c>
      <c r="R73" s="14">
        <f t="shared" si="7"/>
        <v>0.35</v>
      </c>
    </row>
    <row r="74" spans="1:18" x14ac:dyDescent="0.45">
      <c r="A74" s="8" t="s">
        <v>15</v>
      </c>
      <c r="B74" s="1">
        <v>14400000</v>
      </c>
      <c r="C74" s="2">
        <v>2370000</v>
      </c>
      <c r="D74" s="2">
        <v>2690000</v>
      </c>
      <c r="E74" s="2">
        <v>4035000</v>
      </c>
      <c r="F74" s="2">
        <v>4305000</v>
      </c>
      <c r="G74" s="10">
        <v>0.16458333333333333</v>
      </c>
      <c r="H74" s="10">
        <v>0.18680555555555556</v>
      </c>
      <c r="I74" s="10">
        <v>0.28020833333333334</v>
      </c>
      <c r="J74" s="10">
        <v>0.29895833333333333</v>
      </c>
      <c r="K74" s="9">
        <v>4.9882629107980692E-4</v>
      </c>
      <c r="L74" s="9">
        <v>8.9006259780907704E-4</v>
      </c>
      <c r="M74" s="9">
        <v>9.8298122065726412E-4</v>
      </c>
      <c r="N74" s="12">
        <v>7.1889671361502483E-4</v>
      </c>
      <c r="O74" s="14">
        <f t="shared" si="4"/>
        <v>0.2</v>
      </c>
      <c r="P74" s="14">
        <f t="shared" si="5"/>
        <v>0.25</v>
      </c>
      <c r="Q74" s="14">
        <f t="shared" si="6"/>
        <v>0.35</v>
      </c>
      <c r="R74" s="14">
        <f t="shared" si="7"/>
        <v>0.35</v>
      </c>
    </row>
    <row r="75" spans="1:18" x14ac:dyDescent="0.45">
      <c r="A75" s="8" t="s">
        <v>15</v>
      </c>
      <c r="B75" s="1">
        <v>14600000</v>
      </c>
      <c r="C75" s="2">
        <v>2410000</v>
      </c>
      <c r="D75" s="2">
        <v>2740000</v>
      </c>
      <c r="E75" s="2">
        <v>4105000</v>
      </c>
      <c r="F75" s="2">
        <v>4375000</v>
      </c>
      <c r="G75" s="10">
        <v>0.16506849315068492</v>
      </c>
      <c r="H75" s="10">
        <v>0.18767123287671234</v>
      </c>
      <c r="I75" s="10">
        <v>0.28116438356164386</v>
      </c>
      <c r="J75" s="10">
        <v>0.29965753424657532</v>
      </c>
      <c r="K75" s="9">
        <v>4.8515981735158809E-4</v>
      </c>
      <c r="L75" s="9">
        <v>8.6567732115677698E-4</v>
      </c>
      <c r="M75" s="9">
        <v>9.5605022831052322E-4</v>
      </c>
      <c r="N75" s="12">
        <v>6.9920091324199296E-4</v>
      </c>
      <c r="O75" s="14">
        <f t="shared" si="4"/>
        <v>0.2</v>
      </c>
      <c r="P75" s="14">
        <f t="shared" si="5"/>
        <v>0.25</v>
      </c>
      <c r="Q75" s="14">
        <f t="shared" si="6"/>
        <v>0.35</v>
      </c>
      <c r="R75" s="14">
        <f t="shared" si="7"/>
        <v>0.35</v>
      </c>
    </row>
    <row r="76" spans="1:18" x14ac:dyDescent="0.45">
      <c r="A76" s="8" t="s">
        <v>15</v>
      </c>
      <c r="B76" s="1">
        <v>14800000</v>
      </c>
      <c r="C76" s="2">
        <v>2450000</v>
      </c>
      <c r="D76" s="2">
        <v>2790000</v>
      </c>
      <c r="E76" s="2">
        <v>4175000</v>
      </c>
      <c r="F76" s="2">
        <v>4445000</v>
      </c>
      <c r="G76" s="10">
        <v>0.16554054054054054</v>
      </c>
      <c r="H76" s="10">
        <v>0.1885135135135135</v>
      </c>
      <c r="I76" s="10">
        <v>0.28209459459459457</v>
      </c>
      <c r="J76" s="10">
        <v>0.30033783783783785</v>
      </c>
      <c r="K76" s="9">
        <v>4.7204738985562322E-4</v>
      </c>
      <c r="L76" s="9">
        <v>8.4228063680116816E-4</v>
      </c>
      <c r="M76" s="9">
        <v>9.3021103295071184E-4</v>
      </c>
      <c r="N76" s="12">
        <v>6.8030359126253215E-4</v>
      </c>
      <c r="O76" s="14">
        <f t="shared" si="4"/>
        <v>0.2</v>
      </c>
      <c r="P76" s="14">
        <f t="shared" si="5"/>
        <v>0.25</v>
      </c>
      <c r="Q76" s="14">
        <f t="shared" si="6"/>
        <v>0.35</v>
      </c>
      <c r="R76" s="14">
        <f t="shared" si="7"/>
        <v>0.35</v>
      </c>
    </row>
    <row r="77" spans="1:18" x14ac:dyDescent="0.45">
      <c r="A77" s="8" t="s">
        <v>15</v>
      </c>
      <c r="B77" s="1">
        <v>15000000</v>
      </c>
      <c r="C77" s="2">
        <v>2490000</v>
      </c>
      <c r="D77" s="2">
        <v>2840000</v>
      </c>
      <c r="E77" s="2">
        <v>4245000</v>
      </c>
      <c r="F77" s="2">
        <v>4515000</v>
      </c>
      <c r="G77" s="10">
        <v>0.16600000000000001</v>
      </c>
      <c r="H77" s="10">
        <v>0.18933333333333333</v>
      </c>
      <c r="I77" s="10">
        <v>0.28299999999999997</v>
      </c>
      <c r="J77" s="10">
        <v>0.30099999999999999</v>
      </c>
      <c r="K77" s="9">
        <v>4.5945945945946587E-4</v>
      </c>
      <c r="L77" s="9">
        <v>8.1981981981982255E-4</v>
      </c>
      <c r="M77" s="9">
        <v>9.0540540540540171E-4</v>
      </c>
      <c r="N77" s="12">
        <v>6.6216216216213875E-4</v>
      </c>
      <c r="O77" s="14">
        <f t="shared" si="4"/>
        <v>0.2</v>
      </c>
      <c r="P77" s="14">
        <f t="shared" si="5"/>
        <v>0.25</v>
      </c>
      <c r="Q77" s="14">
        <f t="shared" si="6"/>
        <v>0.35</v>
      </c>
      <c r="R77" s="14">
        <f t="shared" si="7"/>
        <v>0.35</v>
      </c>
    </row>
    <row r="78" spans="1:18" x14ac:dyDescent="0.45">
      <c r="A78" s="8" t="s">
        <v>15</v>
      </c>
      <c r="B78" s="1">
        <v>15200000</v>
      </c>
      <c r="C78" s="2">
        <v>2530000</v>
      </c>
      <c r="D78" s="2">
        <v>2890000</v>
      </c>
      <c r="E78" s="2">
        <v>4315000</v>
      </c>
      <c r="F78" s="2">
        <v>4585000</v>
      </c>
      <c r="G78" s="10">
        <v>0.16644736842105262</v>
      </c>
      <c r="H78" s="10">
        <v>0.19013157894736843</v>
      </c>
      <c r="I78" s="10">
        <v>0.28388157894736843</v>
      </c>
      <c r="J78" s="10">
        <v>0.30164473684210524</v>
      </c>
      <c r="K78" s="9">
        <v>4.4736842105261299E-4</v>
      </c>
      <c r="L78" s="9">
        <v>7.9824561403510352E-4</v>
      </c>
      <c r="M78" s="9">
        <v>8.8157894736845543E-4</v>
      </c>
      <c r="N78" s="12">
        <v>6.447368421052535E-4</v>
      </c>
      <c r="O78" s="14">
        <f t="shared" si="4"/>
        <v>0.2</v>
      </c>
      <c r="P78" s="14">
        <f t="shared" si="5"/>
        <v>0.25</v>
      </c>
      <c r="Q78" s="14">
        <f t="shared" si="6"/>
        <v>0.35</v>
      </c>
      <c r="R78" s="14">
        <f t="shared" si="7"/>
        <v>0.35</v>
      </c>
    </row>
    <row r="79" spans="1:18" x14ac:dyDescent="0.45">
      <c r="A79" s="8" t="s">
        <v>15</v>
      </c>
      <c r="B79" s="1">
        <v>15400000</v>
      </c>
      <c r="C79" s="2">
        <v>2570000</v>
      </c>
      <c r="D79" s="2">
        <v>2940000</v>
      </c>
      <c r="E79" s="2">
        <v>4385000</v>
      </c>
      <c r="F79" s="2">
        <v>4655000</v>
      </c>
      <c r="G79" s="10">
        <v>0.16688311688311688</v>
      </c>
      <c r="H79" s="10">
        <v>0.19090909090909092</v>
      </c>
      <c r="I79" s="10">
        <v>0.28474025974025974</v>
      </c>
      <c r="J79" s="10">
        <v>0.30227272727272725</v>
      </c>
      <c r="K79" s="9">
        <v>4.3574846206426154E-4</v>
      </c>
      <c r="L79" s="9">
        <v>7.7751196172248793E-4</v>
      </c>
      <c r="M79" s="9">
        <v>8.5868079289130872E-4</v>
      </c>
      <c r="N79" s="12">
        <v>6.2799043062200521E-4</v>
      </c>
      <c r="O79" s="14">
        <f t="shared" si="4"/>
        <v>0.2</v>
      </c>
      <c r="P79" s="14">
        <f t="shared" si="5"/>
        <v>0.25</v>
      </c>
      <c r="Q79" s="14">
        <f t="shared" si="6"/>
        <v>0.35</v>
      </c>
      <c r="R79" s="14">
        <f t="shared" si="7"/>
        <v>0.35</v>
      </c>
    </row>
    <row r="80" spans="1:18" x14ac:dyDescent="0.45">
      <c r="A80" s="8" t="s">
        <v>15</v>
      </c>
      <c r="B80" s="1">
        <v>15600000</v>
      </c>
      <c r="C80" s="2">
        <v>2610000</v>
      </c>
      <c r="D80" s="2">
        <v>2990000</v>
      </c>
      <c r="E80" s="2">
        <v>4455000</v>
      </c>
      <c r="F80" s="2">
        <v>4725000</v>
      </c>
      <c r="G80" s="10">
        <v>0.1673076923076923</v>
      </c>
      <c r="H80" s="10">
        <v>0.19166666666666668</v>
      </c>
      <c r="I80" s="10">
        <v>0.28557692307692306</v>
      </c>
      <c r="J80" s="10">
        <v>0.30288461538461536</v>
      </c>
      <c r="K80" s="9">
        <v>4.2457542457541297E-4</v>
      </c>
      <c r="L80" s="9">
        <v>7.5757575757576245E-4</v>
      </c>
      <c r="M80" s="9">
        <v>8.366633366633236E-4</v>
      </c>
      <c r="N80" s="12">
        <v>6.1188811188811476E-4</v>
      </c>
      <c r="O80" s="14">
        <f t="shared" si="4"/>
        <v>0.2</v>
      </c>
      <c r="P80" s="14">
        <f t="shared" si="5"/>
        <v>0.25</v>
      </c>
      <c r="Q80" s="14">
        <f t="shared" si="6"/>
        <v>0.35</v>
      </c>
      <c r="R80" s="14">
        <f t="shared" si="7"/>
        <v>0.35</v>
      </c>
    </row>
    <row r="81" spans="1:18" x14ac:dyDescent="0.45">
      <c r="A81" s="8" t="s">
        <v>15</v>
      </c>
      <c r="B81" s="1">
        <v>15800000</v>
      </c>
      <c r="C81" s="2">
        <v>2650000</v>
      </c>
      <c r="D81" s="2">
        <v>3040000</v>
      </c>
      <c r="E81" s="2">
        <v>4525000</v>
      </c>
      <c r="F81" s="2">
        <v>4795000</v>
      </c>
      <c r="G81" s="10">
        <v>0.16772151898734178</v>
      </c>
      <c r="H81" s="10">
        <v>0.19240506329113924</v>
      </c>
      <c r="I81" s="10">
        <v>0.28639240506329117</v>
      </c>
      <c r="J81" s="10">
        <v>0.30348101265822786</v>
      </c>
      <c r="K81" s="9">
        <v>4.1382667964948161E-4</v>
      </c>
      <c r="L81" s="9">
        <v>7.3839662447255927E-4</v>
      </c>
      <c r="M81" s="9">
        <v>8.1548198636810509E-4</v>
      </c>
      <c r="N81" s="12">
        <v>5.9639727361249228E-4</v>
      </c>
      <c r="O81" s="14">
        <f t="shared" si="4"/>
        <v>0.2</v>
      </c>
      <c r="P81" s="14">
        <f t="shared" si="5"/>
        <v>0.25</v>
      </c>
      <c r="Q81" s="14">
        <f t="shared" si="6"/>
        <v>0.35</v>
      </c>
      <c r="R81" s="14">
        <f t="shared" si="7"/>
        <v>0.35</v>
      </c>
    </row>
    <row r="82" spans="1:18" x14ac:dyDescent="0.45">
      <c r="A82" s="8" t="s">
        <v>15</v>
      </c>
      <c r="B82" s="1">
        <v>16000000</v>
      </c>
      <c r="C82" s="2">
        <v>2690000</v>
      </c>
      <c r="D82" s="2">
        <v>3090000</v>
      </c>
      <c r="E82" s="2">
        <v>4595000</v>
      </c>
      <c r="F82" s="2">
        <v>4865000</v>
      </c>
      <c r="G82" s="10">
        <v>0.168125</v>
      </c>
      <c r="H82" s="10">
        <v>0.19312499999999999</v>
      </c>
      <c r="I82" s="10">
        <v>0.28718749999999998</v>
      </c>
      <c r="J82" s="10">
        <v>0.30406250000000001</v>
      </c>
      <c r="K82" s="9">
        <v>4.034810126582189E-4</v>
      </c>
      <c r="L82" s="9">
        <v>7.1993670886075223E-4</v>
      </c>
      <c r="M82" s="9">
        <v>7.9509493670881781E-4</v>
      </c>
      <c r="N82" s="12">
        <v>5.8148734177215777E-4</v>
      </c>
      <c r="O82" s="14">
        <f t="shared" si="4"/>
        <v>0.2</v>
      </c>
      <c r="P82" s="14">
        <f t="shared" si="5"/>
        <v>0.25</v>
      </c>
      <c r="Q82" s="14">
        <f t="shared" si="6"/>
        <v>0.35</v>
      </c>
      <c r="R82" s="14">
        <f t="shared" si="7"/>
        <v>0.35</v>
      </c>
    </row>
    <row r="83" spans="1:18" x14ac:dyDescent="0.45">
      <c r="A83" s="8" t="s">
        <v>15</v>
      </c>
      <c r="B83" s="1">
        <v>16200000</v>
      </c>
      <c r="C83" s="2">
        <v>2730000</v>
      </c>
      <c r="D83" s="2">
        <v>3140000</v>
      </c>
      <c r="E83" s="2">
        <v>4665000</v>
      </c>
      <c r="F83" s="2">
        <v>4935000</v>
      </c>
      <c r="G83" s="10">
        <v>0.16851851851851851</v>
      </c>
      <c r="H83" s="10">
        <v>0.19382716049382717</v>
      </c>
      <c r="I83" s="10">
        <v>0.28796296296296298</v>
      </c>
      <c r="J83" s="10">
        <v>0.30462962962962964</v>
      </c>
      <c r="K83" s="9">
        <v>3.9351851851851527E-4</v>
      </c>
      <c r="L83" s="9">
        <v>7.0216049382718082E-4</v>
      </c>
      <c r="M83" s="9">
        <v>7.7546296296299166E-4</v>
      </c>
      <c r="N83" s="12">
        <v>5.6712962962962576E-4</v>
      </c>
      <c r="O83" s="14">
        <f t="shared" si="4"/>
        <v>0.2</v>
      </c>
      <c r="P83" s="14">
        <f t="shared" si="5"/>
        <v>0.25</v>
      </c>
      <c r="Q83" s="14">
        <f t="shared" si="6"/>
        <v>0.35</v>
      </c>
      <c r="R83" s="14">
        <f t="shared" si="7"/>
        <v>0.35</v>
      </c>
    </row>
    <row r="84" spans="1:18" x14ac:dyDescent="0.45">
      <c r="A84" s="8" t="s">
        <v>15</v>
      </c>
      <c r="B84" s="1">
        <v>16400000</v>
      </c>
      <c r="C84" s="2">
        <v>2770000</v>
      </c>
      <c r="D84" s="2">
        <v>3190000</v>
      </c>
      <c r="E84" s="2">
        <v>4735000</v>
      </c>
      <c r="F84" s="2">
        <v>5005000</v>
      </c>
      <c r="G84" s="10">
        <v>0.16890243902439026</v>
      </c>
      <c r="H84" s="10">
        <v>0.19451219512195123</v>
      </c>
      <c r="I84" s="10">
        <v>0.28871951219512193</v>
      </c>
      <c r="J84" s="10">
        <v>0.30518292682926829</v>
      </c>
      <c r="K84" s="9">
        <v>3.839205058717432E-4</v>
      </c>
      <c r="L84" s="9">
        <v>6.850346281240538E-4</v>
      </c>
      <c r="M84" s="9">
        <v>7.5654923215895398E-4</v>
      </c>
      <c r="N84" s="12">
        <v>5.532971996386471E-4</v>
      </c>
      <c r="O84" s="14">
        <f t="shared" si="4"/>
        <v>0.2</v>
      </c>
      <c r="P84" s="14">
        <f t="shared" si="5"/>
        <v>0.25</v>
      </c>
      <c r="Q84" s="14">
        <f t="shared" si="6"/>
        <v>0.35</v>
      </c>
      <c r="R84" s="14">
        <f t="shared" si="7"/>
        <v>0.35</v>
      </c>
    </row>
    <row r="85" spans="1:18" x14ac:dyDescent="0.45">
      <c r="A85" s="8" t="s">
        <v>15</v>
      </c>
      <c r="B85" s="1">
        <v>16600000</v>
      </c>
      <c r="C85" s="2">
        <v>2810000</v>
      </c>
      <c r="D85" s="2">
        <v>3240000</v>
      </c>
      <c r="E85" s="2">
        <v>4805000</v>
      </c>
      <c r="F85" s="2">
        <v>5075000</v>
      </c>
      <c r="G85" s="10">
        <v>0.16927710843373495</v>
      </c>
      <c r="H85" s="10">
        <v>0.19518072289156627</v>
      </c>
      <c r="I85" s="10">
        <v>0.28945783132530123</v>
      </c>
      <c r="J85" s="10">
        <v>0.30572289156626509</v>
      </c>
      <c r="K85" s="9">
        <v>3.7466940934469117E-4</v>
      </c>
      <c r="L85" s="9">
        <v>6.6852776961504046E-4</v>
      </c>
      <c r="M85" s="9">
        <v>7.3831913017929907E-4</v>
      </c>
      <c r="N85" s="12">
        <v>5.3996473699680081E-4</v>
      </c>
      <c r="O85" s="14">
        <f t="shared" si="4"/>
        <v>0.2</v>
      </c>
      <c r="P85" s="14">
        <f t="shared" si="5"/>
        <v>0.25</v>
      </c>
      <c r="Q85" s="14">
        <f t="shared" si="6"/>
        <v>0.35</v>
      </c>
      <c r="R85" s="14">
        <f t="shared" si="7"/>
        <v>0.35</v>
      </c>
    </row>
    <row r="86" spans="1:18" x14ac:dyDescent="0.45">
      <c r="A86" s="8" t="s">
        <v>15</v>
      </c>
      <c r="B86" s="1">
        <v>16800000</v>
      </c>
      <c r="C86" s="2">
        <v>2850000</v>
      </c>
      <c r="D86" s="2">
        <v>3290000</v>
      </c>
      <c r="E86" s="2">
        <v>4875000</v>
      </c>
      <c r="F86" s="2">
        <v>5145000</v>
      </c>
      <c r="G86" s="10">
        <v>0.16964285714285715</v>
      </c>
      <c r="H86" s="10">
        <v>0.19583333333333333</v>
      </c>
      <c r="I86" s="10">
        <v>0.29017857142857145</v>
      </c>
      <c r="J86" s="10">
        <v>0.30625000000000002</v>
      </c>
      <c r="K86" s="9">
        <v>3.6574870912220447E-4</v>
      </c>
      <c r="L86" s="9">
        <v>6.5261044176706529E-4</v>
      </c>
      <c r="M86" s="9">
        <v>7.207401032702232E-4</v>
      </c>
      <c r="N86" s="12">
        <v>5.2710843373493521E-4</v>
      </c>
      <c r="O86" s="14">
        <f t="shared" si="4"/>
        <v>0.2</v>
      </c>
      <c r="P86" s="14">
        <f t="shared" si="5"/>
        <v>0.25</v>
      </c>
      <c r="Q86" s="14">
        <f t="shared" si="6"/>
        <v>0.35</v>
      </c>
      <c r="R86" s="14">
        <f t="shared" si="7"/>
        <v>0.35</v>
      </c>
    </row>
    <row r="87" spans="1:18" x14ac:dyDescent="0.45">
      <c r="A87" s="8" t="s">
        <v>15</v>
      </c>
      <c r="B87" s="1">
        <v>17000000</v>
      </c>
      <c r="C87" s="2">
        <v>2890000</v>
      </c>
      <c r="D87" s="2">
        <v>3340000</v>
      </c>
      <c r="E87" s="2">
        <v>4945000</v>
      </c>
      <c r="F87" s="2">
        <v>5215000</v>
      </c>
      <c r="G87" s="10">
        <v>0.17</v>
      </c>
      <c r="H87" s="10">
        <v>0.19647058823529412</v>
      </c>
      <c r="I87" s="10">
        <v>0.29088235294117648</v>
      </c>
      <c r="J87" s="10">
        <v>0.30676470588235294</v>
      </c>
      <c r="K87" s="9">
        <v>3.5714285714286143E-4</v>
      </c>
      <c r="L87" s="9">
        <v>6.372549019607876E-4</v>
      </c>
      <c r="M87" s="9">
        <v>7.0378151260502841E-4</v>
      </c>
      <c r="N87" s="12">
        <v>5.1470588235291714E-4</v>
      </c>
      <c r="O87" s="14">
        <f t="shared" si="4"/>
        <v>0.2</v>
      </c>
      <c r="P87" s="14">
        <f t="shared" si="5"/>
        <v>0.25</v>
      </c>
      <c r="Q87" s="14">
        <f t="shared" si="6"/>
        <v>0.35</v>
      </c>
      <c r="R87" s="14">
        <f t="shared" si="7"/>
        <v>0.35</v>
      </c>
    </row>
    <row r="88" spans="1:18" x14ac:dyDescent="0.45">
      <c r="A88" s="8" t="s">
        <v>15</v>
      </c>
      <c r="B88" s="1">
        <v>17200000</v>
      </c>
      <c r="C88" s="2">
        <v>2930000</v>
      </c>
      <c r="D88" s="2">
        <v>3390000</v>
      </c>
      <c r="E88" s="2">
        <v>5015000</v>
      </c>
      <c r="F88" s="2">
        <v>5285000</v>
      </c>
      <c r="G88" s="10">
        <v>0.17034883720930233</v>
      </c>
      <c r="H88" s="10">
        <v>0.19709302325581396</v>
      </c>
      <c r="I88" s="10">
        <v>0.29156976744186047</v>
      </c>
      <c r="J88" s="10">
        <v>0.30726744186046512</v>
      </c>
      <c r="K88" s="9">
        <v>3.4883720930231621E-4</v>
      </c>
      <c r="L88" s="9">
        <v>6.2243502051984034E-4</v>
      </c>
      <c r="M88" s="9">
        <v>6.8741450068399157E-4</v>
      </c>
      <c r="N88" s="12">
        <v>5.0273597811217874E-4</v>
      </c>
      <c r="O88" s="14">
        <f t="shared" si="4"/>
        <v>0.2</v>
      </c>
      <c r="P88" s="14">
        <f t="shared" si="5"/>
        <v>0.25</v>
      </c>
      <c r="Q88" s="14">
        <f t="shared" si="6"/>
        <v>0.35</v>
      </c>
      <c r="R88" s="14">
        <f t="shared" si="7"/>
        <v>0.35</v>
      </c>
    </row>
    <row r="89" spans="1:18" x14ac:dyDescent="0.45">
      <c r="A89" s="8" t="s">
        <v>15</v>
      </c>
      <c r="B89" s="1">
        <v>17400000</v>
      </c>
      <c r="C89" s="2">
        <v>2970000</v>
      </c>
      <c r="D89" s="2">
        <v>3440000</v>
      </c>
      <c r="E89" s="2">
        <v>5085000</v>
      </c>
      <c r="F89" s="2">
        <v>5355000</v>
      </c>
      <c r="G89" s="10">
        <v>0.1706896551724138</v>
      </c>
      <c r="H89" s="10">
        <v>0.19770114942528735</v>
      </c>
      <c r="I89" s="10">
        <v>0.29224137931034483</v>
      </c>
      <c r="J89" s="10">
        <v>0.30775862068965515</v>
      </c>
      <c r="K89" s="9">
        <v>3.4081796311147272E-4</v>
      </c>
      <c r="L89" s="9">
        <v>6.0812616947339415E-4</v>
      </c>
      <c r="M89" s="9">
        <v>6.7161186848435639E-4</v>
      </c>
      <c r="N89" s="12">
        <v>4.9117882919003097E-4</v>
      </c>
      <c r="O89" s="14">
        <f t="shared" si="4"/>
        <v>0.2</v>
      </c>
      <c r="P89" s="14">
        <f t="shared" si="5"/>
        <v>0.25</v>
      </c>
      <c r="Q89" s="14">
        <f t="shared" si="6"/>
        <v>0.35</v>
      </c>
      <c r="R89" s="14">
        <f t="shared" si="7"/>
        <v>0.35</v>
      </c>
    </row>
    <row r="90" spans="1:18" x14ac:dyDescent="0.45">
      <c r="A90" s="8" t="s">
        <v>15</v>
      </c>
      <c r="B90" s="1">
        <v>17600000</v>
      </c>
      <c r="C90" s="2">
        <v>3010000</v>
      </c>
      <c r="D90" s="2">
        <v>3490000</v>
      </c>
      <c r="E90" s="2">
        <v>5155000</v>
      </c>
      <c r="F90" s="2">
        <v>5425000</v>
      </c>
      <c r="G90" s="10">
        <v>0.17102272727272727</v>
      </c>
      <c r="H90" s="10">
        <v>0.19829545454545455</v>
      </c>
      <c r="I90" s="10">
        <v>0.29289772727272728</v>
      </c>
      <c r="J90" s="10">
        <v>0.30823863636363635</v>
      </c>
      <c r="K90" s="9">
        <v>3.3307210031346957E-4</v>
      </c>
      <c r="L90" s="9">
        <v>5.9430512016719894E-4</v>
      </c>
      <c r="M90" s="9">
        <v>6.5634796238245308E-4</v>
      </c>
      <c r="N90" s="12">
        <v>4.8001567398120448E-4</v>
      </c>
      <c r="O90" s="14">
        <f t="shared" si="4"/>
        <v>0.2</v>
      </c>
      <c r="P90" s="14">
        <f t="shared" si="5"/>
        <v>0.25</v>
      </c>
      <c r="Q90" s="14">
        <f t="shared" si="6"/>
        <v>0.35</v>
      </c>
      <c r="R90" s="14">
        <f t="shared" si="7"/>
        <v>0.35</v>
      </c>
    </row>
    <row r="91" spans="1:18" x14ac:dyDescent="0.45">
      <c r="A91" s="8" t="s">
        <v>15</v>
      </c>
      <c r="B91" s="1">
        <v>17800000</v>
      </c>
      <c r="C91" s="2">
        <v>3050000</v>
      </c>
      <c r="D91" s="2">
        <v>3540000</v>
      </c>
      <c r="E91" s="2">
        <v>5225000</v>
      </c>
      <c r="F91" s="2">
        <v>5495000</v>
      </c>
      <c r="G91" s="10">
        <v>0.17134831460674158</v>
      </c>
      <c r="H91" s="10">
        <v>0.19887640449438201</v>
      </c>
      <c r="I91" s="10">
        <v>0.29353932584269665</v>
      </c>
      <c r="J91" s="10">
        <v>0.30870786516853932</v>
      </c>
      <c r="K91" s="9">
        <v>3.2558733401430451E-4</v>
      </c>
      <c r="L91" s="9">
        <v>5.8094994892746166E-4</v>
      </c>
      <c r="M91" s="9">
        <v>6.4159856996937048E-4</v>
      </c>
      <c r="N91" s="12">
        <v>4.6922880490296581E-4</v>
      </c>
      <c r="O91" s="14">
        <f t="shared" si="4"/>
        <v>0.2</v>
      </c>
      <c r="P91" s="14">
        <f t="shared" si="5"/>
        <v>0.25</v>
      </c>
      <c r="Q91" s="14">
        <f t="shared" si="6"/>
        <v>0.35</v>
      </c>
      <c r="R91" s="14">
        <f t="shared" si="7"/>
        <v>0.35</v>
      </c>
    </row>
    <row r="92" spans="1:18" x14ac:dyDescent="0.45">
      <c r="A92" s="8" t="s">
        <v>15</v>
      </c>
      <c r="B92" s="1">
        <v>18000000</v>
      </c>
      <c r="C92" s="2">
        <v>3090000</v>
      </c>
      <c r="D92" s="2">
        <v>3590000</v>
      </c>
      <c r="E92" s="2">
        <v>5295000</v>
      </c>
      <c r="F92" s="2">
        <v>5565000</v>
      </c>
      <c r="G92" s="10">
        <v>0.17166666666666666</v>
      </c>
      <c r="H92" s="10">
        <v>0.19944444444444445</v>
      </c>
      <c r="I92" s="10">
        <v>0.29416666666666669</v>
      </c>
      <c r="J92" s="10">
        <v>0.30916666666666665</v>
      </c>
      <c r="K92" s="9">
        <v>3.1835205992508664E-4</v>
      </c>
      <c r="L92" s="9">
        <v>5.6803995006243779E-4</v>
      </c>
      <c r="M92" s="9">
        <v>6.273408239700351E-4</v>
      </c>
      <c r="N92" s="12">
        <v>4.5880149812732585E-4</v>
      </c>
      <c r="O92" s="14">
        <f t="shared" si="4"/>
        <v>0.2</v>
      </c>
      <c r="P92" s="14">
        <f t="shared" si="5"/>
        <v>0.25</v>
      </c>
      <c r="Q92" s="14">
        <f t="shared" si="6"/>
        <v>0.35</v>
      </c>
      <c r="R92" s="14">
        <f t="shared" si="7"/>
        <v>0.35</v>
      </c>
    </row>
    <row r="93" spans="1:18" x14ac:dyDescent="0.45">
      <c r="A93" s="8" t="s">
        <v>15</v>
      </c>
      <c r="B93" s="1">
        <v>18200000</v>
      </c>
      <c r="C93" s="2">
        <v>3130000</v>
      </c>
      <c r="D93" s="2">
        <v>3640000</v>
      </c>
      <c r="E93" s="2">
        <v>5365000</v>
      </c>
      <c r="F93" s="2">
        <v>5635000</v>
      </c>
      <c r="G93" s="10">
        <v>0.17197802197802198</v>
      </c>
      <c r="H93" s="10">
        <v>0.2</v>
      </c>
      <c r="I93" s="10">
        <v>0.29478021978021979</v>
      </c>
      <c r="J93" s="10">
        <v>0.30961538461538463</v>
      </c>
      <c r="K93" s="9">
        <v>3.113553113553158E-4</v>
      </c>
      <c r="L93" s="9">
        <v>5.5555555555555913E-4</v>
      </c>
      <c r="M93" s="9">
        <v>6.1355311355310027E-4</v>
      </c>
      <c r="N93" s="12">
        <v>4.4871794871798043E-4</v>
      </c>
      <c r="O93" s="14">
        <f t="shared" si="4"/>
        <v>0.2</v>
      </c>
      <c r="P93" s="14">
        <f t="shared" si="5"/>
        <v>0.25</v>
      </c>
      <c r="Q93" s="14">
        <f t="shared" si="6"/>
        <v>0.35</v>
      </c>
      <c r="R93" s="14">
        <f t="shared" si="7"/>
        <v>0.35</v>
      </c>
    </row>
    <row r="94" spans="1:18" x14ac:dyDescent="0.45">
      <c r="A94" s="8" t="s">
        <v>15</v>
      </c>
      <c r="B94" s="1">
        <v>18400000</v>
      </c>
      <c r="C94" s="2">
        <v>3170000</v>
      </c>
      <c r="D94" s="2">
        <v>3690000</v>
      </c>
      <c r="E94" s="2">
        <v>5435000</v>
      </c>
      <c r="F94" s="2">
        <v>5705000</v>
      </c>
      <c r="G94" s="10">
        <v>0.17228260869565218</v>
      </c>
      <c r="H94" s="10">
        <v>0.20054347826086957</v>
      </c>
      <c r="I94" s="10">
        <v>0.29538043478260867</v>
      </c>
      <c r="J94" s="10">
        <v>0.31005434782608693</v>
      </c>
      <c r="K94" s="9">
        <v>3.0458671763020084E-4</v>
      </c>
      <c r="L94" s="9">
        <v>5.4347826086956208E-4</v>
      </c>
      <c r="M94" s="9">
        <v>6.0021500238888192E-4</v>
      </c>
      <c r="N94" s="12">
        <v>4.3896321070230337E-4</v>
      </c>
      <c r="O94" s="14">
        <f t="shared" si="4"/>
        <v>0.2</v>
      </c>
      <c r="P94" s="14">
        <f t="shared" si="5"/>
        <v>0.25</v>
      </c>
      <c r="Q94" s="14">
        <f t="shared" si="6"/>
        <v>0.35</v>
      </c>
      <c r="R94" s="14">
        <f t="shared" si="7"/>
        <v>0.35</v>
      </c>
    </row>
    <row r="95" spans="1:18" x14ac:dyDescent="0.45">
      <c r="A95" s="8" t="s">
        <v>15</v>
      </c>
      <c r="B95" s="1">
        <v>18600000</v>
      </c>
      <c r="C95" s="2">
        <v>3210000</v>
      </c>
      <c r="D95" s="2">
        <v>3740000</v>
      </c>
      <c r="E95" s="2">
        <v>5505000</v>
      </c>
      <c r="F95" s="2">
        <v>5775000</v>
      </c>
      <c r="G95" s="10">
        <v>0.17258064516129032</v>
      </c>
      <c r="H95" s="10">
        <v>0.20107526881720431</v>
      </c>
      <c r="I95" s="10">
        <v>0.29596774193548386</v>
      </c>
      <c r="J95" s="10">
        <v>0.31048387096774194</v>
      </c>
      <c r="K95" s="9">
        <v>2.9803646563814068E-4</v>
      </c>
      <c r="L95" s="9">
        <v>5.3179055633473249E-4</v>
      </c>
      <c r="M95" s="9">
        <v>5.8730715287519386E-4</v>
      </c>
      <c r="N95" s="12">
        <v>4.2952314165500827E-4</v>
      </c>
      <c r="O95" s="14">
        <f t="shared" si="4"/>
        <v>0.2</v>
      </c>
      <c r="P95" s="14">
        <f t="shared" si="5"/>
        <v>0.25</v>
      </c>
      <c r="Q95" s="14">
        <f t="shared" si="6"/>
        <v>0.35</v>
      </c>
      <c r="R95" s="14">
        <f t="shared" si="7"/>
        <v>0.35</v>
      </c>
    </row>
    <row r="96" spans="1:18" x14ac:dyDescent="0.45">
      <c r="A96" s="8" t="s">
        <v>15</v>
      </c>
      <c r="B96" s="1">
        <v>18800000</v>
      </c>
      <c r="C96" s="2">
        <v>3250000</v>
      </c>
      <c r="D96" s="2">
        <v>3790000</v>
      </c>
      <c r="E96" s="2">
        <v>5575000</v>
      </c>
      <c r="F96" s="2">
        <v>5845000</v>
      </c>
      <c r="G96" s="10">
        <v>0.17287234042553193</v>
      </c>
      <c r="H96" s="10">
        <v>0.20159574468085106</v>
      </c>
      <c r="I96" s="10">
        <v>0.29654255319148937</v>
      </c>
      <c r="J96" s="10">
        <v>0.31090425531914895</v>
      </c>
      <c r="K96" s="9">
        <v>2.916952642416093E-4</v>
      </c>
      <c r="L96" s="9">
        <v>5.2047586364675769E-4</v>
      </c>
      <c r="M96" s="9">
        <v>5.7481125600550298E-4</v>
      </c>
      <c r="N96" s="12">
        <v>4.2038435140701047E-4</v>
      </c>
      <c r="O96" s="14">
        <f t="shared" si="4"/>
        <v>0.2</v>
      </c>
      <c r="P96" s="14">
        <f t="shared" si="5"/>
        <v>0.25</v>
      </c>
      <c r="Q96" s="14">
        <f t="shared" si="6"/>
        <v>0.35</v>
      </c>
      <c r="R96" s="14">
        <f t="shared" si="7"/>
        <v>0.35</v>
      </c>
    </row>
    <row r="97" spans="1:18" x14ac:dyDescent="0.45">
      <c r="A97" s="8" t="s">
        <v>15</v>
      </c>
      <c r="B97" s="1">
        <v>20000000</v>
      </c>
      <c r="C97" s="2">
        <v>3490000</v>
      </c>
      <c r="D97" s="2">
        <v>4090000</v>
      </c>
      <c r="E97" s="2">
        <v>5995000</v>
      </c>
      <c r="F97" s="2">
        <v>6265000</v>
      </c>
      <c r="G97" s="10">
        <v>0.17449999999999999</v>
      </c>
      <c r="H97" s="10">
        <v>0.20449999999999999</v>
      </c>
      <c r="I97" s="10">
        <v>0.29975000000000002</v>
      </c>
      <c r="J97" s="10">
        <v>0.31324999999999997</v>
      </c>
      <c r="K97" s="9">
        <v>1.62765957446806E-3</v>
      </c>
      <c r="L97" s="9">
        <v>2.904255319148924E-3</v>
      </c>
      <c r="M97" s="9">
        <v>3.20744680851065E-3</v>
      </c>
      <c r="N97" s="12">
        <v>2.3457446808510252E-3</v>
      </c>
      <c r="O97" s="14">
        <f t="shared" si="4"/>
        <v>0.2</v>
      </c>
      <c r="P97" s="14">
        <f t="shared" si="5"/>
        <v>0.25</v>
      </c>
      <c r="Q97" s="14">
        <f t="shared" si="6"/>
        <v>0.35</v>
      </c>
      <c r="R97" s="14">
        <f t="shared" si="7"/>
        <v>0.35</v>
      </c>
    </row>
    <row r="98" spans="1:18" x14ac:dyDescent="0.45">
      <c r="A98" s="8" t="s">
        <v>15</v>
      </c>
      <c r="B98" s="1">
        <v>40000000</v>
      </c>
      <c r="C98" s="2">
        <v>7490000</v>
      </c>
      <c r="D98" s="2">
        <v>9090000</v>
      </c>
      <c r="E98" s="2">
        <v>12995000</v>
      </c>
      <c r="F98" s="2">
        <v>13265000</v>
      </c>
      <c r="G98" s="10">
        <v>0.18725</v>
      </c>
      <c r="H98" s="10">
        <v>0.22725000000000001</v>
      </c>
      <c r="I98" s="10">
        <v>0.32487500000000002</v>
      </c>
      <c r="J98" s="10">
        <v>0.331625</v>
      </c>
      <c r="K98" s="9">
        <v>1.2750000000000011E-2</v>
      </c>
      <c r="L98" s="9">
        <v>2.275000000000002E-2</v>
      </c>
      <c r="M98" s="9">
        <v>2.5125000000000008E-2</v>
      </c>
      <c r="N98" s="12">
        <v>1.837500000000003E-2</v>
      </c>
      <c r="O98" s="14">
        <f t="shared" si="4"/>
        <v>0.2</v>
      </c>
      <c r="P98" s="14">
        <f t="shared" si="5"/>
        <v>0.25</v>
      </c>
      <c r="Q98" s="14">
        <f t="shared" si="6"/>
        <v>0.35</v>
      </c>
      <c r="R98" s="14">
        <f t="shared" si="7"/>
        <v>0.35</v>
      </c>
    </row>
    <row r="99" spans="1:18" x14ac:dyDescent="0.45">
      <c r="A99" s="8" t="s">
        <v>15</v>
      </c>
      <c r="B99" s="1">
        <v>60000000</v>
      </c>
      <c r="C99" s="2">
        <v>11490000</v>
      </c>
      <c r="D99" s="2">
        <v>14090000</v>
      </c>
      <c r="E99" s="2">
        <v>19995000</v>
      </c>
      <c r="F99" s="2">
        <v>20265000</v>
      </c>
      <c r="G99" s="10">
        <v>0.1915</v>
      </c>
      <c r="H99" s="10">
        <v>0.23483333333333334</v>
      </c>
      <c r="I99" s="10">
        <v>0.33324999999999999</v>
      </c>
      <c r="J99" s="10">
        <v>0.33774999999999999</v>
      </c>
      <c r="K99" s="9">
        <v>4.2500000000000038E-3</v>
      </c>
      <c r="L99" s="9">
        <v>7.5833333333333308E-3</v>
      </c>
      <c r="M99" s="9">
        <v>8.3749999999999658E-3</v>
      </c>
      <c r="N99" s="12">
        <v>6.1249999999999916E-3</v>
      </c>
      <c r="O99" s="14">
        <f t="shared" si="4"/>
        <v>0.2</v>
      </c>
      <c r="P99" s="14">
        <f t="shared" si="5"/>
        <v>0.25</v>
      </c>
      <c r="Q99" s="14">
        <f t="shared" si="6"/>
        <v>0.35</v>
      </c>
      <c r="R99" s="14">
        <f t="shared" si="7"/>
        <v>0.35</v>
      </c>
    </row>
    <row r="100" spans="1:18" x14ac:dyDescent="0.45">
      <c r="A100" s="8" t="s">
        <v>15</v>
      </c>
      <c r="B100" s="1">
        <v>80000000</v>
      </c>
      <c r="C100" s="2">
        <v>15490000</v>
      </c>
      <c r="D100" s="2">
        <v>19090000</v>
      </c>
      <c r="E100" s="2">
        <v>26995000</v>
      </c>
      <c r="F100" s="2">
        <v>27265000</v>
      </c>
      <c r="G100" s="10">
        <v>0.19362499999999999</v>
      </c>
      <c r="H100" s="10">
        <v>0.238625</v>
      </c>
      <c r="I100" s="10">
        <v>0.3374375</v>
      </c>
      <c r="J100" s="10">
        <v>0.34081250000000002</v>
      </c>
      <c r="K100" s="9">
        <v>2.124999999999988E-3</v>
      </c>
      <c r="L100" s="9">
        <v>3.7916666666666654E-3</v>
      </c>
      <c r="M100" s="9">
        <v>4.1875000000000107E-3</v>
      </c>
      <c r="N100" s="12">
        <v>3.0625000000000235E-3</v>
      </c>
      <c r="O100" s="14">
        <f t="shared" si="4"/>
        <v>0.2</v>
      </c>
      <c r="P100" s="14">
        <f t="shared" si="5"/>
        <v>0.25</v>
      </c>
      <c r="Q100" s="14">
        <f t="shared" si="6"/>
        <v>0.35</v>
      </c>
      <c r="R100" s="14">
        <f t="shared" si="7"/>
        <v>0.35</v>
      </c>
    </row>
    <row r="101" spans="1:18" x14ac:dyDescent="0.45">
      <c r="A101" s="15" t="s">
        <v>20</v>
      </c>
      <c r="B101" s="8">
        <v>0</v>
      </c>
      <c r="C101" s="16">
        <v>0</v>
      </c>
      <c r="D101" s="16">
        <v>0</v>
      </c>
      <c r="E101" s="16">
        <v>0</v>
      </c>
      <c r="F101" s="16">
        <v>0</v>
      </c>
      <c r="G101" s="17">
        <v>0</v>
      </c>
      <c r="H101" s="17">
        <v>0</v>
      </c>
      <c r="I101" s="17">
        <v>0</v>
      </c>
      <c r="J101" s="17">
        <v>0</v>
      </c>
      <c r="K101" s="9">
        <v>0</v>
      </c>
      <c r="L101" s="9">
        <v>0</v>
      </c>
      <c r="M101" s="9">
        <v>0</v>
      </c>
      <c r="N101" s="9">
        <v>0</v>
      </c>
      <c r="O101" s="14">
        <v>0</v>
      </c>
      <c r="P101" s="14">
        <v>0</v>
      </c>
      <c r="Q101" s="14">
        <v>0</v>
      </c>
      <c r="R101" s="14">
        <v>0</v>
      </c>
    </row>
    <row r="102" spans="1:18" x14ac:dyDescent="0.45">
      <c r="A102" s="15" t="s">
        <v>20</v>
      </c>
      <c r="B102" s="8">
        <v>100000</v>
      </c>
      <c r="C102" s="16">
        <v>0</v>
      </c>
      <c r="D102" s="16">
        <v>0</v>
      </c>
      <c r="E102" s="16">
        <v>0</v>
      </c>
      <c r="F102" s="16">
        <v>0</v>
      </c>
      <c r="G102" s="17">
        <v>0</v>
      </c>
      <c r="H102" s="17">
        <v>0</v>
      </c>
      <c r="I102" s="17">
        <v>0</v>
      </c>
      <c r="J102" s="17">
        <v>0</v>
      </c>
      <c r="K102" s="18">
        <f>G102-G101</f>
        <v>0</v>
      </c>
      <c r="L102" s="18">
        <f>H102-H101</f>
        <v>0</v>
      </c>
      <c r="M102" s="18">
        <f t="shared" ref="M102" si="8">I102-I101</f>
        <v>0</v>
      </c>
      <c r="N102" s="18">
        <f>J102-J101</f>
        <v>0</v>
      </c>
      <c r="O102" s="14">
        <v>0</v>
      </c>
      <c r="P102" s="14">
        <v>0</v>
      </c>
      <c r="Q102" s="14">
        <v>0</v>
      </c>
      <c r="R102" s="14">
        <v>0</v>
      </c>
    </row>
    <row r="103" spans="1:18" x14ac:dyDescent="0.45">
      <c r="A103" s="15" t="s">
        <v>20</v>
      </c>
      <c r="B103" s="8">
        <v>200000</v>
      </c>
      <c r="C103" s="16">
        <v>0</v>
      </c>
      <c r="D103" s="16">
        <v>0</v>
      </c>
      <c r="E103" s="16">
        <v>0</v>
      </c>
      <c r="F103" s="16">
        <v>0</v>
      </c>
      <c r="G103" s="17">
        <v>0</v>
      </c>
      <c r="H103" s="17">
        <v>0</v>
      </c>
      <c r="I103" s="17">
        <v>0</v>
      </c>
      <c r="J103" s="17">
        <v>0</v>
      </c>
      <c r="K103" s="18">
        <f t="shared" ref="K103:K161" si="9">G103-G102</f>
        <v>0</v>
      </c>
      <c r="L103" s="18">
        <f t="shared" ref="L103:L162" si="10">H103-H102</f>
        <v>0</v>
      </c>
      <c r="M103" s="18">
        <f t="shared" ref="M103:M162" si="11">I103-I102</f>
        <v>0</v>
      </c>
      <c r="N103" s="18">
        <f t="shared" ref="N103:N161" si="12">J103-J102</f>
        <v>0</v>
      </c>
      <c r="O103" s="14">
        <v>0</v>
      </c>
      <c r="P103" s="14">
        <v>0</v>
      </c>
      <c r="Q103" s="14">
        <v>0</v>
      </c>
      <c r="R103" s="14">
        <v>0</v>
      </c>
    </row>
    <row r="104" spans="1:18" x14ac:dyDescent="0.45">
      <c r="A104" s="15" t="s">
        <v>20</v>
      </c>
      <c r="B104" s="8">
        <v>300000</v>
      </c>
      <c r="C104" s="16">
        <v>0</v>
      </c>
      <c r="D104" s="16">
        <v>0</v>
      </c>
      <c r="E104" s="16">
        <v>0</v>
      </c>
      <c r="F104" s="16">
        <v>0</v>
      </c>
      <c r="G104" s="17">
        <v>0</v>
      </c>
      <c r="H104" s="17">
        <v>0</v>
      </c>
      <c r="I104" s="17">
        <v>0</v>
      </c>
      <c r="J104" s="17">
        <v>0</v>
      </c>
      <c r="K104" s="18">
        <f t="shared" si="9"/>
        <v>0</v>
      </c>
      <c r="L104" s="18">
        <f t="shared" si="10"/>
        <v>0</v>
      </c>
      <c r="M104" s="18">
        <f t="shared" si="11"/>
        <v>0</v>
      </c>
      <c r="N104" s="18">
        <f t="shared" si="12"/>
        <v>0</v>
      </c>
      <c r="O104" s="14">
        <v>0</v>
      </c>
      <c r="P104" s="14">
        <v>0</v>
      </c>
      <c r="Q104" s="14">
        <v>0</v>
      </c>
      <c r="R104" s="14">
        <v>0</v>
      </c>
    </row>
    <row r="105" spans="1:18" x14ac:dyDescent="0.45">
      <c r="A105" s="15" t="s">
        <v>20</v>
      </c>
      <c r="B105" s="8">
        <v>400000</v>
      </c>
      <c r="C105" s="16">
        <v>0</v>
      </c>
      <c r="D105" s="16">
        <v>0</v>
      </c>
      <c r="E105" s="16">
        <v>0</v>
      </c>
      <c r="F105" s="16">
        <v>0</v>
      </c>
      <c r="G105" s="17">
        <v>0</v>
      </c>
      <c r="H105" s="17">
        <v>0</v>
      </c>
      <c r="I105" s="17">
        <v>0</v>
      </c>
      <c r="J105" s="17">
        <v>0</v>
      </c>
      <c r="K105" s="18">
        <f t="shared" si="9"/>
        <v>0</v>
      </c>
      <c r="L105" s="18">
        <f t="shared" si="10"/>
        <v>0</v>
      </c>
      <c r="M105" s="18">
        <f t="shared" si="11"/>
        <v>0</v>
      </c>
      <c r="N105" s="18">
        <f t="shared" si="12"/>
        <v>0</v>
      </c>
      <c r="O105" s="14">
        <v>0</v>
      </c>
      <c r="P105" s="14">
        <v>0</v>
      </c>
      <c r="Q105" s="14">
        <v>0</v>
      </c>
      <c r="R105" s="14">
        <v>0</v>
      </c>
    </row>
    <row r="106" spans="1:18" x14ac:dyDescent="0.45">
      <c r="A106" s="15" t="s">
        <v>20</v>
      </c>
      <c r="B106" s="8">
        <v>500000</v>
      </c>
      <c r="C106" s="16">
        <v>0</v>
      </c>
      <c r="D106" s="16">
        <v>5000</v>
      </c>
      <c r="E106" s="16">
        <v>0</v>
      </c>
      <c r="F106" s="16">
        <v>0</v>
      </c>
      <c r="G106" s="17">
        <v>0</v>
      </c>
      <c r="H106" s="17">
        <v>0.01</v>
      </c>
      <c r="I106" s="17">
        <v>0</v>
      </c>
      <c r="J106" s="17">
        <v>0</v>
      </c>
      <c r="K106" s="18">
        <f t="shared" si="9"/>
        <v>0</v>
      </c>
      <c r="L106" s="18">
        <f t="shared" si="10"/>
        <v>0.01</v>
      </c>
      <c r="M106" s="18">
        <f t="shared" si="11"/>
        <v>0</v>
      </c>
      <c r="N106" s="18">
        <f t="shared" si="12"/>
        <v>0</v>
      </c>
      <c r="O106" s="14">
        <v>0</v>
      </c>
      <c r="P106" s="14">
        <v>0</v>
      </c>
      <c r="Q106" s="14">
        <v>0</v>
      </c>
      <c r="R106" s="14">
        <v>0</v>
      </c>
    </row>
    <row r="107" spans="1:18" x14ac:dyDescent="0.45">
      <c r="A107" s="15" t="s">
        <v>20</v>
      </c>
      <c r="B107" s="8">
        <v>600000</v>
      </c>
      <c r="C107" s="16">
        <v>0</v>
      </c>
      <c r="D107" s="16">
        <v>10000</v>
      </c>
      <c r="E107" s="16">
        <v>0</v>
      </c>
      <c r="F107" s="16">
        <v>0</v>
      </c>
      <c r="G107" s="17">
        <v>0</v>
      </c>
      <c r="H107" s="17">
        <v>1.6666666666666666E-2</v>
      </c>
      <c r="I107" s="17">
        <v>0</v>
      </c>
      <c r="J107" s="17">
        <v>0</v>
      </c>
      <c r="K107" s="18">
        <f t="shared" si="9"/>
        <v>0</v>
      </c>
      <c r="L107" s="18">
        <f t="shared" si="10"/>
        <v>6.6666666666666662E-3</v>
      </c>
      <c r="M107" s="18">
        <f t="shared" si="11"/>
        <v>0</v>
      </c>
      <c r="N107" s="18">
        <f t="shared" si="12"/>
        <v>0</v>
      </c>
      <c r="O107" s="14">
        <v>0</v>
      </c>
      <c r="P107" s="14">
        <v>0.05</v>
      </c>
      <c r="Q107" s="14">
        <v>0</v>
      </c>
      <c r="R107" s="14">
        <v>0</v>
      </c>
    </row>
    <row r="108" spans="1:18" x14ac:dyDescent="0.45">
      <c r="A108" s="15" t="s">
        <v>20</v>
      </c>
      <c r="B108" s="8">
        <v>700000</v>
      </c>
      <c r="C108" s="16">
        <v>0</v>
      </c>
      <c r="D108" s="16">
        <v>15000</v>
      </c>
      <c r="E108" s="16">
        <v>5000</v>
      </c>
      <c r="F108" s="16">
        <v>15000</v>
      </c>
      <c r="G108" s="17">
        <v>0</v>
      </c>
      <c r="H108" s="17">
        <v>2.1428571428571429E-2</v>
      </c>
      <c r="I108" s="17">
        <v>7.1428571428571426E-3</v>
      </c>
      <c r="J108" s="17">
        <v>2.1428571428571429E-2</v>
      </c>
      <c r="K108" s="18">
        <f t="shared" si="9"/>
        <v>0</v>
      </c>
      <c r="L108" s="18">
        <f t="shared" si="10"/>
        <v>4.7619047619047623E-3</v>
      </c>
      <c r="M108" s="18">
        <f t="shared" si="11"/>
        <v>7.1428571428571426E-3</v>
      </c>
      <c r="N108" s="18">
        <f t="shared" si="12"/>
        <v>2.1428571428571429E-2</v>
      </c>
      <c r="O108" s="14">
        <v>0</v>
      </c>
      <c r="P108" s="14">
        <v>0.05</v>
      </c>
      <c r="Q108" s="14">
        <v>0</v>
      </c>
      <c r="R108" s="14">
        <v>0</v>
      </c>
    </row>
    <row r="109" spans="1:18" x14ac:dyDescent="0.45">
      <c r="A109" s="15" t="s">
        <v>20</v>
      </c>
      <c r="B109" s="8">
        <v>800000</v>
      </c>
      <c r="C109" s="16">
        <v>0</v>
      </c>
      <c r="D109" s="16">
        <v>20000</v>
      </c>
      <c r="E109" s="16">
        <v>10000</v>
      </c>
      <c r="F109" s="16">
        <v>30000</v>
      </c>
      <c r="G109" s="17">
        <v>0</v>
      </c>
      <c r="H109" s="17">
        <v>2.5000000000000001E-2</v>
      </c>
      <c r="I109" s="17">
        <v>1.2500000000000001E-2</v>
      </c>
      <c r="J109" s="17">
        <v>3.7499999999999999E-2</v>
      </c>
      <c r="K109" s="18">
        <f t="shared" si="9"/>
        <v>0</v>
      </c>
      <c r="L109" s="18">
        <f t="shared" si="10"/>
        <v>3.5714285714285726E-3</v>
      </c>
      <c r="M109" s="18">
        <f t="shared" si="11"/>
        <v>5.3571428571428581E-3</v>
      </c>
      <c r="N109" s="18">
        <f t="shared" si="12"/>
        <v>1.607142857142857E-2</v>
      </c>
      <c r="O109" s="14">
        <v>0</v>
      </c>
      <c r="P109" s="14">
        <v>0.05</v>
      </c>
      <c r="Q109" s="14">
        <v>0.05</v>
      </c>
      <c r="R109" s="14">
        <v>0.15</v>
      </c>
    </row>
    <row r="110" spans="1:18" x14ac:dyDescent="0.45">
      <c r="A110" s="15" t="s">
        <v>20</v>
      </c>
      <c r="B110" s="8">
        <v>900000</v>
      </c>
      <c r="C110" s="16">
        <v>0</v>
      </c>
      <c r="D110" s="16">
        <v>30000</v>
      </c>
      <c r="E110" s="16">
        <v>22500</v>
      </c>
      <c r="F110" s="16">
        <v>45000</v>
      </c>
      <c r="G110" s="17">
        <v>0</v>
      </c>
      <c r="H110" s="17">
        <v>3.3333333333333333E-2</v>
      </c>
      <c r="I110" s="17">
        <v>2.5000000000000001E-2</v>
      </c>
      <c r="J110" s="17">
        <v>0.05</v>
      </c>
      <c r="K110" s="18">
        <f t="shared" si="9"/>
        <v>0</v>
      </c>
      <c r="L110" s="18">
        <f t="shared" si="10"/>
        <v>8.3333333333333315E-3</v>
      </c>
      <c r="M110" s="18">
        <f t="shared" si="11"/>
        <v>1.2500000000000001E-2</v>
      </c>
      <c r="N110" s="18">
        <f t="shared" si="12"/>
        <v>1.2500000000000004E-2</v>
      </c>
      <c r="O110" s="14">
        <v>0</v>
      </c>
      <c r="P110" s="14">
        <v>0.05</v>
      </c>
      <c r="Q110" s="14">
        <v>0.05</v>
      </c>
      <c r="R110" s="14">
        <v>0.15</v>
      </c>
    </row>
    <row r="111" spans="1:18" x14ac:dyDescent="0.45">
      <c r="A111" s="15" t="s">
        <v>20</v>
      </c>
      <c r="B111" s="8">
        <v>1000000</v>
      </c>
      <c r="C111" s="16">
        <v>0</v>
      </c>
      <c r="D111" s="16">
        <v>40000</v>
      </c>
      <c r="E111" s="16">
        <v>35000</v>
      </c>
      <c r="F111" s="16">
        <v>60000</v>
      </c>
      <c r="G111" s="17">
        <v>0</v>
      </c>
      <c r="H111" s="17">
        <v>0.04</v>
      </c>
      <c r="I111" s="17">
        <v>3.5000000000000003E-2</v>
      </c>
      <c r="J111" s="17">
        <v>0.06</v>
      </c>
      <c r="K111" s="18">
        <f t="shared" si="9"/>
        <v>0</v>
      </c>
      <c r="L111" s="18">
        <f t="shared" si="10"/>
        <v>6.666666666666668E-3</v>
      </c>
      <c r="M111" s="18">
        <f t="shared" si="11"/>
        <v>1.0000000000000002E-2</v>
      </c>
      <c r="N111" s="18">
        <f t="shared" si="12"/>
        <v>9.999999999999995E-3</v>
      </c>
      <c r="O111" s="14">
        <v>0</v>
      </c>
      <c r="P111" s="14">
        <v>0.1</v>
      </c>
      <c r="Q111" s="14">
        <v>0.125</v>
      </c>
      <c r="R111" s="14">
        <v>0.15</v>
      </c>
    </row>
    <row r="112" spans="1:18" x14ac:dyDescent="0.45">
      <c r="A112" s="15" t="s">
        <v>20</v>
      </c>
      <c r="B112" s="8">
        <v>1100000</v>
      </c>
      <c r="C112" s="16">
        <v>0</v>
      </c>
      <c r="D112" s="16">
        <v>50000</v>
      </c>
      <c r="E112" s="16">
        <v>47500</v>
      </c>
      <c r="F112" s="16">
        <v>75000</v>
      </c>
      <c r="G112" s="17">
        <v>0</v>
      </c>
      <c r="H112" s="17">
        <v>4.5454545454545456E-2</v>
      </c>
      <c r="I112" s="17">
        <v>4.3181818181818182E-2</v>
      </c>
      <c r="J112" s="17">
        <v>6.8181818181818177E-2</v>
      </c>
      <c r="K112" s="18">
        <f t="shared" si="9"/>
        <v>0</v>
      </c>
      <c r="L112" s="18">
        <f t="shared" si="10"/>
        <v>5.454545454545455E-3</v>
      </c>
      <c r="M112" s="18">
        <f t="shared" si="11"/>
        <v>8.181818181818179E-3</v>
      </c>
      <c r="N112" s="18">
        <f t="shared" si="12"/>
        <v>8.181818181818179E-3</v>
      </c>
      <c r="O112" s="14">
        <v>0</v>
      </c>
      <c r="P112" s="14">
        <v>0.1</v>
      </c>
      <c r="Q112" s="14">
        <v>0.125</v>
      </c>
      <c r="R112" s="14">
        <v>0.15</v>
      </c>
    </row>
    <row r="113" spans="1:18" x14ac:dyDescent="0.45">
      <c r="A113" s="15" t="s">
        <v>20</v>
      </c>
      <c r="B113" s="8">
        <v>1200000</v>
      </c>
      <c r="C113" s="16">
        <v>0</v>
      </c>
      <c r="D113" s="16">
        <v>60000</v>
      </c>
      <c r="E113" s="16">
        <v>60000</v>
      </c>
      <c r="F113" s="16">
        <v>90000</v>
      </c>
      <c r="G113" s="17">
        <v>0</v>
      </c>
      <c r="H113" s="17">
        <v>0.05</v>
      </c>
      <c r="I113" s="17">
        <v>0.05</v>
      </c>
      <c r="J113" s="17">
        <v>7.4999999999999997E-2</v>
      </c>
      <c r="K113" s="18">
        <f t="shared" si="9"/>
        <v>0</v>
      </c>
      <c r="L113" s="18">
        <f t="shared" si="10"/>
        <v>4.545454545454547E-3</v>
      </c>
      <c r="M113" s="18">
        <f t="shared" si="11"/>
        <v>6.8181818181818205E-3</v>
      </c>
      <c r="N113" s="18">
        <f t="shared" si="12"/>
        <v>6.8181818181818205E-3</v>
      </c>
      <c r="O113" s="14">
        <v>0</v>
      </c>
      <c r="P113" s="14">
        <v>0.1</v>
      </c>
      <c r="Q113" s="14">
        <v>0.125</v>
      </c>
      <c r="R113" s="14">
        <v>0.15</v>
      </c>
    </row>
    <row r="114" spans="1:18" x14ac:dyDescent="0.45">
      <c r="A114" s="15" t="s">
        <v>20</v>
      </c>
      <c r="B114" s="8">
        <v>1300000</v>
      </c>
      <c r="C114" s="16">
        <v>5000</v>
      </c>
      <c r="D114" s="16">
        <v>75000</v>
      </c>
      <c r="E114" s="16">
        <v>77500</v>
      </c>
      <c r="F114" s="16">
        <v>110000</v>
      </c>
      <c r="G114" s="17">
        <v>3.8461538461538464E-3</v>
      </c>
      <c r="H114" s="17">
        <v>5.7692307692307696E-2</v>
      </c>
      <c r="I114" s="17">
        <v>5.9615384615384619E-2</v>
      </c>
      <c r="J114" s="17">
        <v>8.461538461538462E-2</v>
      </c>
      <c r="K114" s="18">
        <f t="shared" si="9"/>
        <v>3.8461538461538464E-3</v>
      </c>
      <c r="L114" s="18">
        <f t="shared" si="10"/>
        <v>7.6923076923076927E-3</v>
      </c>
      <c r="M114" s="18">
        <f t="shared" si="11"/>
        <v>9.6153846153846159E-3</v>
      </c>
      <c r="N114" s="18">
        <f t="shared" si="12"/>
        <v>9.6153846153846229E-3</v>
      </c>
      <c r="O114" s="14">
        <v>0</v>
      </c>
      <c r="P114" s="14">
        <v>0.1</v>
      </c>
      <c r="Q114" s="14">
        <v>0.125</v>
      </c>
      <c r="R114" s="14">
        <v>0.15</v>
      </c>
    </row>
    <row r="115" spans="1:18" x14ac:dyDescent="0.45">
      <c r="A115" s="15" t="s">
        <v>20</v>
      </c>
      <c r="B115" s="8">
        <v>1400000</v>
      </c>
      <c r="C115" s="16">
        <v>10000</v>
      </c>
      <c r="D115" s="16">
        <v>90000</v>
      </c>
      <c r="E115" s="16">
        <v>95000</v>
      </c>
      <c r="F115" s="16">
        <v>130000</v>
      </c>
      <c r="G115" s="17">
        <v>7.1428571428571426E-3</v>
      </c>
      <c r="H115" s="17">
        <v>6.4285714285714279E-2</v>
      </c>
      <c r="I115" s="17">
        <v>6.7857142857142852E-2</v>
      </c>
      <c r="J115" s="17">
        <v>9.285714285714286E-2</v>
      </c>
      <c r="K115" s="18">
        <f t="shared" si="9"/>
        <v>3.2967032967032963E-3</v>
      </c>
      <c r="L115" s="18">
        <f t="shared" si="10"/>
        <v>6.5934065934065839E-3</v>
      </c>
      <c r="M115" s="18">
        <f t="shared" si="11"/>
        <v>8.2417582417582333E-3</v>
      </c>
      <c r="N115" s="18">
        <f t="shared" si="12"/>
        <v>8.2417582417582402E-3</v>
      </c>
      <c r="O115" s="14">
        <v>0.05</v>
      </c>
      <c r="P115" s="14">
        <v>0.15</v>
      </c>
      <c r="Q115" s="14">
        <v>0.17499999999999999</v>
      </c>
      <c r="R115" s="14">
        <v>0.2</v>
      </c>
    </row>
    <row r="116" spans="1:18" x14ac:dyDescent="0.45">
      <c r="A116" s="15" t="s">
        <v>20</v>
      </c>
      <c r="B116" s="8">
        <v>1500000</v>
      </c>
      <c r="C116" s="16">
        <v>15000</v>
      </c>
      <c r="D116" s="16">
        <v>105000</v>
      </c>
      <c r="E116" s="16">
        <v>112500</v>
      </c>
      <c r="F116" s="16">
        <v>150000</v>
      </c>
      <c r="G116" s="17">
        <v>0.01</v>
      </c>
      <c r="H116" s="17">
        <v>7.0000000000000007E-2</v>
      </c>
      <c r="I116" s="17">
        <v>7.4999999999999997E-2</v>
      </c>
      <c r="J116" s="17">
        <v>0.1</v>
      </c>
      <c r="K116" s="18">
        <f t="shared" si="9"/>
        <v>2.8571428571428576E-3</v>
      </c>
      <c r="L116" s="18">
        <f t="shared" si="10"/>
        <v>5.7142857142857273E-3</v>
      </c>
      <c r="M116" s="18">
        <f t="shared" si="11"/>
        <v>7.1428571428571452E-3</v>
      </c>
      <c r="N116" s="18">
        <f t="shared" si="12"/>
        <v>7.1428571428571452E-3</v>
      </c>
      <c r="O116" s="14">
        <v>0.05</v>
      </c>
      <c r="P116" s="14">
        <v>0.15</v>
      </c>
      <c r="Q116" s="14">
        <v>0.17499999999999999</v>
      </c>
      <c r="R116" s="14">
        <v>0.2</v>
      </c>
    </row>
    <row r="117" spans="1:18" x14ac:dyDescent="0.45">
      <c r="A117" s="15" t="s">
        <v>20</v>
      </c>
      <c r="B117" s="8">
        <v>1600000</v>
      </c>
      <c r="C117" s="16">
        <v>20000</v>
      </c>
      <c r="D117" s="16">
        <v>120000</v>
      </c>
      <c r="E117" s="16">
        <v>130000</v>
      </c>
      <c r="F117" s="16">
        <v>170000</v>
      </c>
      <c r="G117" s="17">
        <v>1.2500000000000001E-2</v>
      </c>
      <c r="H117" s="17">
        <v>7.4999999999999997E-2</v>
      </c>
      <c r="I117" s="17">
        <v>8.1250000000000003E-2</v>
      </c>
      <c r="J117" s="17">
        <v>0.10625</v>
      </c>
      <c r="K117" s="18">
        <f t="shared" si="9"/>
        <v>2.5000000000000005E-3</v>
      </c>
      <c r="L117" s="18">
        <f t="shared" si="10"/>
        <v>4.9999999999999906E-3</v>
      </c>
      <c r="M117" s="18">
        <f t="shared" si="11"/>
        <v>6.2500000000000056E-3</v>
      </c>
      <c r="N117" s="18">
        <f t="shared" si="12"/>
        <v>6.2499999999999917E-3</v>
      </c>
      <c r="O117" s="14">
        <v>0.05</v>
      </c>
      <c r="P117" s="14">
        <v>0.15</v>
      </c>
      <c r="Q117" s="14">
        <v>0.17499999999999999</v>
      </c>
      <c r="R117" s="14">
        <v>0.2</v>
      </c>
    </row>
    <row r="118" spans="1:18" x14ac:dyDescent="0.45">
      <c r="A118" s="15" t="s">
        <v>20</v>
      </c>
      <c r="B118" s="8">
        <v>1700000</v>
      </c>
      <c r="C118" s="16">
        <v>25000</v>
      </c>
      <c r="D118" s="16">
        <v>135000</v>
      </c>
      <c r="E118" s="16">
        <v>147500</v>
      </c>
      <c r="F118" s="16">
        <v>200000</v>
      </c>
      <c r="G118" s="17">
        <v>1.4705882352941176E-2</v>
      </c>
      <c r="H118" s="17">
        <v>7.9411764705882348E-2</v>
      </c>
      <c r="I118" s="17">
        <v>8.6764705882352938E-2</v>
      </c>
      <c r="J118" s="17">
        <v>0.11764705882352941</v>
      </c>
      <c r="K118" s="18">
        <f t="shared" si="9"/>
        <v>2.2058823529411756E-3</v>
      </c>
      <c r="L118" s="18">
        <f t="shared" si="10"/>
        <v>4.4117647058823511E-3</v>
      </c>
      <c r="M118" s="18">
        <f t="shared" si="11"/>
        <v>5.5147058823529355E-3</v>
      </c>
      <c r="N118" s="18">
        <f t="shared" si="12"/>
        <v>1.1397058823529413E-2</v>
      </c>
      <c r="O118" s="14">
        <v>0.05</v>
      </c>
      <c r="P118" s="14">
        <v>0.15</v>
      </c>
      <c r="Q118" s="14">
        <v>0.17499999999999999</v>
      </c>
      <c r="R118" s="14">
        <v>0.2</v>
      </c>
    </row>
    <row r="119" spans="1:18" x14ac:dyDescent="0.45">
      <c r="A119" s="15" t="s">
        <v>20</v>
      </c>
      <c r="B119" s="8">
        <v>1800000</v>
      </c>
      <c r="C119" s="16">
        <v>30000</v>
      </c>
      <c r="D119" s="16">
        <v>150000</v>
      </c>
      <c r="E119" s="16">
        <v>165000</v>
      </c>
      <c r="F119" s="16">
        <v>230000</v>
      </c>
      <c r="G119" s="17">
        <v>1.6666666666666666E-2</v>
      </c>
      <c r="H119" s="17">
        <v>8.3333333333333329E-2</v>
      </c>
      <c r="I119" s="17">
        <v>9.166666666666666E-2</v>
      </c>
      <c r="J119" s="17">
        <v>0.12777777777777777</v>
      </c>
      <c r="K119" s="18">
        <f t="shared" si="9"/>
        <v>1.9607843137254902E-3</v>
      </c>
      <c r="L119" s="18">
        <f t="shared" si="10"/>
        <v>3.9215686274509803E-3</v>
      </c>
      <c r="M119" s="18">
        <f t="shared" si="11"/>
        <v>4.901960784313722E-3</v>
      </c>
      <c r="N119" s="18">
        <f t="shared" si="12"/>
        <v>1.0130718954248358E-2</v>
      </c>
      <c r="O119" s="14">
        <v>0.05</v>
      </c>
      <c r="P119" s="14">
        <v>0.15</v>
      </c>
      <c r="Q119" s="14">
        <v>0.17499999999999999</v>
      </c>
      <c r="R119" s="14">
        <v>0.3</v>
      </c>
    </row>
    <row r="120" spans="1:18" x14ac:dyDescent="0.45">
      <c r="A120" s="15" t="s">
        <v>20</v>
      </c>
      <c r="B120" s="8">
        <v>1900000</v>
      </c>
      <c r="C120" s="16">
        <v>35000</v>
      </c>
      <c r="D120" s="16">
        <v>165000</v>
      </c>
      <c r="E120" s="16">
        <v>182500</v>
      </c>
      <c r="F120" s="16">
        <v>260000</v>
      </c>
      <c r="G120" s="17">
        <v>1.8421052631578946E-2</v>
      </c>
      <c r="H120" s="17">
        <v>8.6842105263157901E-2</v>
      </c>
      <c r="I120" s="17">
        <v>9.6052631578947362E-2</v>
      </c>
      <c r="J120" s="17">
        <v>0.1368421052631579</v>
      </c>
      <c r="K120" s="18">
        <f t="shared" si="9"/>
        <v>1.7543859649122792E-3</v>
      </c>
      <c r="L120" s="18">
        <f t="shared" si="10"/>
        <v>3.5087719298245723E-3</v>
      </c>
      <c r="M120" s="18">
        <f t="shared" si="11"/>
        <v>4.3859649122807015E-3</v>
      </c>
      <c r="N120" s="18">
        <f t="shared" si="12"/>
        <v>9.0643274853801359E-3</v>
      </c>
      <c r="O120" s="14">
        <v>0.05</v>
      </c>
      <c r="P120" s="14">
        <v>0.15</v>
      </c>
      <c r="Q120" s="14">
        <v>0.17499999999999999</v>
      </c>
      <c r="R120" s="14">
        <v>0.3</v>
      </c>
    </row>
    <row r="121" spans="1:18" x14ac:dyDescent="0.45">
      <c r="A121" s="15" t="s">
        <v>20</v>
      </c>
      <c r="B121" s="8">
        <v>2000000</v>
      </c>
      <c r="C121" s="16">
        <v>40000</v>
      </c>
      <c r="D121" s="16">
        <v>180000</v>
      </c>
      <c r="E121" s="16">
        <v>200000</v>
      </c>
      <c r="F121" s="16">
        <v>290000</v>
      </c>
      <c r="G121" s="17">
        <v>0.02</v>
      </c>
      <c r="H121" s="17">
        <v>0.09</v>
      </c>
      <c r="I121" s="17">
        <v>0.1</v>
      </c>
      <c r="J121" s="17">
        <v>0.14499999999999999</v>
      </c>
      <c r="K121" s="18">
        <f t="shared" si="9"/>
        <v>1.5789473684210548E-3</v>
      </c>
      <c r="L121" s="18">
        <f t="shared" si="10"/>
        <v>3.1578947368420957E-3</v>
      </c>
      <c r="M121" s="18">
        <f t="shared" si="11"/>
        <v>3.9473684210526438E-3</v>
      </c>
      <c r="N121" s="18">
        <f t="shared" si="12"/>
        <v>8.1578947368420862E-3</v>
      </c>
      <c r="O121" s="14">
        <v>0.05</v>
      </c>
      <c r="P121" s="14">
        <v>0.15</v>
      </c>
      <c r="Q121" s="14">
        <v>0.17499999999999999</v>
      </c>
      <c r="R121" s="14">
        <v>0.3</v>
      </c>
    </row>
    <row r="122" spans="1:18" x14ac:dyDescent="0.45">
      <c r="A122" s="15" t="s">
        <v>20</v>
      </c>
      <c r="B122" s="8">
        <v>2100000</v>
      </c>
      <c r="C122" s="16">
        <v>45000</v>
      </c>
      <c r="D122" s="16">
        <v>195000</v>
      </c>
      <c r="E122" s="16">
        <v>217500</v>
      </c>
      <c r="F122" s="16">
        <v>320000</v>
      </c>
      <c r="G122" s="17">
        <v>2.1428571428571429E-2</v>
      </c>
      <c r="H122" s="17">
        <v>9.285714285714286E-2</v>
      </c>
      <c r="I122" s="17">
        <v>0.10357142857142858</v>
      </c>
      <c r="J122" s="17">
        <v>0.15238095238095239</v>
      </c>
      <c r="K122" s="18">
        <f t="shared" si="9"/>
        <v>1.4285714285714284E-3</v>
      </c>
      <c r="L122" s="18">
        <f t="shared" si="10"/>
        <v>2.8571428571428636E-3</v>
      </c>
      <c r="M122" s="18">
        <f t="shared" si="11"/>
        <v>3.5714285714285726E-3</v>
      </c>
      <c r="N122" s="18">
        <f t="shared" si="12"/>
        <v>7.3809523809524047E-3</v>
      </c>
      <c r="O122" s="14">
        <v>0.05</v>
      </c>
      <c r="P122" s="14">
        <v>0.15</v>
      </c>
      <c r="Q122" s="14">
        <v>0.17499999999999999</v>
      </c>
      <c r="R122" s="14">
        <v>0.3</v>
      </c>
    </row>
    <row r="123" spans="1:18" x14ac:dyDescent="0.45">
      <c r="A123" s="15" t="s">
        <v>20</v>
      </c>
      <c r="B123" s="8">
        <v>2200000</v>
      </c>
      <c r="C123" s="16">
        <v>50000</v>
      </c>
      <c r="D123" s="16">
        <v>210000</v>
      </c>
      <c r="E123" s="16">
        <v>235000</v>
      </c>
      <c r="F123" s="16">
        <v>350000</v>
      </c>
      <c r="G123" s="17">
        <v>2.2727272727272728E-2</v>
      </c>
      <c r="H123" s="17">
        <v>9.5454545454545459E-2</v>
      </c>
      <c r="I123" s="17">
        <v>0.10681818181818181</v>
      </c>
      <c r="J123" s="17">
        <v>0.15909090909090909</v>
      </c>
      <c r="K123" s="18">
        <f t="shared" si="9"/>
        <v>1.2987012987012991E-3</v>
      </c>
      <c r="L123" s="18">
        <f t="shared" si="10"/>
        <v>2.5974025974025983E-3</v>
      </c>
      <c r="M123" s="18">
        <f t="shared" si="11"/>
        <v>3.246753246753234E-3</v>
      </c>
      <c r="N123" s="18">
        <f t="shared" si="12"/>
        <v>6.7099567099566937E-3</v>
      </c>
      <c r="O123" s="14">
        <v>0.05</v>
      </c>
      <c r="P123" s="14">
        <v>0.15</v>
      </c>
      <c r="Q123" s="14">
        <v>0.17499999999999999</v>
      </c>
      <c r="R123" s="14">
        <v>0.3</v>
      </c>
    </row>
    <row r="124" spans="1:18" x14ac:dyDescent="0.45">
      <c r="A124" s="15" t="s">
        <v>20</v>
      </c>
      <c r="B124" s="8">
        <v>2300000</v>
      </c>
      <c r="C124" s="16">
        <v>55000</v>
      </c>
      <c r="D124" s="16">
        <v>225000</v>
      </c>
      <c r="E124" s="16">
        <v>252500</v>
      </c>
      <c r="F124" s="16">
        <v>380000</v>
      </c>
      <c r="G124" s="17">
        <v>2.391304347826087E-2</v>
      </c>
      <c r="H124" s="17">
        <v>9.7826086956521743E-2</v>
      </c>
      <c r="I124" s="17">
        <v>0.10978260869565218</v>
      </c>
      <c r="J124" s="17">
        <v>0.16521739130434782</v>
      </c>
      <c r="K124" s="18">
        <f t="shared" si="9"/>
        <v>1.1857707509881424E-3</v>
      </c>
      <c r="L124" s="18">
        <f t="shared" si="10"/>
        <v>2.3715415019762848E-3</v>
      </c>
      <c r="M124" s="18">
        <f t="shared" si="11"/>
        <v>2.9644268774703664E-3</v>
      </c>
      <c r="N124" s="18">
        <f t="shared" si="12"/>
        <v>6.1264822134387276E-3</v>
      </c>
      <c r="O124" s="14">
        <v>0.05</v>
      </c>
      <c r="P124" s="14">
        <v>0.15</v>
      </c>
      <c r="Q124" s="14">
        <v>0.17499999999999999</v>
      </c>
      <c r="R124" s="14">
        <v>0.3</v>
      </c>
    </row>
    <row r="125" spans="1:18" x14ac:dyDescent="0.45">
      <c r="A125" s="15" t="s">
        <v>20</v>
      </c>
      <c r="B125" s="8">
        <v>2400000</v>
      </c>
      <c r="C125" s="16">
        <v>60000</v>
      </c>
      <c r="D125" s="16">
        <v>240000</v>
      </c>
      <c r="E125" s="16">
        <v>270000</v>
      </c>
      <c r="F125" s="16">
        <v>410000</v>
      </c>
      <c r="G125" s="17">
        <v>2.5000000000000001E-2</v>
      </c>
      <c r="H125" s="17">
        <v>0.1</v>
      </c>
      <c r="I125" s="17">
        <v>0.1125</v>
      </c>
      <c r="J125" s="17">
        <v>0.17083333333333334</v>
      </c>
      <c r="K125" s="18">
        <f t="shared" si="9"/>
        <v>1.0869565217391311E-3</v>
      </c>
      <c r="L125" s="18">
        <f t="shared" si="10"/>
        <v>2.1739130434782622E-3</v>
      </c>
      <c r="M125" s="18">
        <f t="shared" si="11"/>
        <v>2.7173913043478243E-3</v>
      </c>
      <c r="N125" s="18">
        <f t="shared" si="12"/>
        <v>5.6159420289855211E-3</v>
      </c>
      <c r="O125" s="14">
        <v>0.05</v>
      </c>
      <c r="P125" s="14">
        <v>0.15</v>
      </c>
      <c r="Q125" s="14">
        <v>0.17499999999999999</v>
      </c>
      <c r="R125" s="14">
        <v>0.3</v>
      </c>
    </row>
    <row r="126" spans="1:18" x14ac:dyDescent="0.45">
      <c r="A126" s="15" t="s">
        <v>20</v>
      </c>
      <c r="B126" s="8">
        <v>2500000</v>
      </c>
      <c r="C126" s="16">
        <v>75000</v>
      </c>
      <c r="D126" s="16">
        <v>260000</v>
      </c>
      <c r="E126" s="16">
        <v>292500</v>
      </c>
      <c r="F126" s="16">
        <v>440000</v>
      </c>
      <c r="G126" s="17">
        <v>0.03</v>
      </c>
      <c r="H126" s="17">
        <v>0.104</v>
      </c>
      <c r="I126" s="17">
        <v>0.11700000000000001</v>
      </c>
      <c r="J126" s="17">
        <v>0.17599999999999999</v>
      </c>
      <c r="K126" s="18">
        <f t="shared" si="9"/>
        <v>4.9999999999999975E-3</v>
      </c>
      <c r="L126" s="18">
        <f t="shared" si="10"/>
        <v>3.9999999999999897E-3</v>
      </c>
      <c r="M126" s="18">
        <f t="shared" si="11"/>
        <v>4.500000000000004E-3</v>
      </c>
      <c r="N126" s="18">
        <f t="shared" si="12"/>
        <v>5.1666666666666528E-3</v>
      </c>
      <c r="O126" s="14">
        <v>0.05</v>
      </c>
      <c r="P126" s="14">
        <v>0.15</v>
      </c>
      <c r="Q126" s="14">
        <v>0.17499999999999999</v>
      </c>
      <c r="R126" s="14">
        <v>0.3</v>
      </c>
    </row>
    <row r="127" spans="1:18" x14ac:dyDescent="0.45">
      <c r="A127" s="15" t="s">
        <v>20</v>
      </c>
      <c r="B127" s="8">
        <v>2600000</v>
      </c>
      <c r="C127" s="16">
        <v>90000</v>
      </c>
      <c r="D127" s="16">
        <v>280000</v>
      </c>
      <c r="E127" s="16">
        <v>315000</v>
      </c>
      <c r="F127" s="16">
        <v>470000</v>
      </c>
      <c r="G127" s="17">
        <v>3.4615384615384617E-2</v>
      </c>
      <c r="H127" s="17">
        <v>0.1076923076923077</v>
      </c>
      <c r="I127" s="17">
        <v>0.12115384615384615</v>
      </c>
      <c r="J127" s="17">
        <v>0.18076923076923077</v>
      </c>
      <c r="K127" s="18">
        <f t="shared" si="9"/>
        <v>4.6153846153846184E-3</v>
      </c>
      <c r="L127" s="18">
        <f t="shared" si="10"/>
        <v>3.6923076923077031E-3</v>
      </c>
      <c r="M127" s="18">
        <f t="shared" si="11"/>
        <v>4.1538461538461469E-3</v>
      </c>
      <c r="N127" s="18">
        <f t="shared" si="12"/>
        <v>4.7692307692307756E-3</v>
      </c>
      <c r="O127" s="14">
        <v>0.15</v>
      </c>
      <c r="P127" s="14">
        <v>0.2</v>
      </c>
      <c r="Q127" s="14">
        <v>0.22500000000000001</v>
      </c>
      <c r="R127" s="14">
        <v>0.3</v>
      </c>
    </row>
    <row r="128" spans="1:18" x14ac:dyDescent="0.45">
      <c r="A128" s="15" t="s">
        <v>20</v>
      </c>
      <c r="B128" s="8">
        <v>2700000</v>
      </c>
      <c r="C128" s="16">
        <v>105000</v>
      </c>
      <c r="D128" s="16">
        <v>300000</v>
      </c>
      <c r="E128" s="16">
        <v>337500</v>
      </c>
      <c r="F128" s="16">
        <v>500000</v>
      </c>
      <c r="G128" s="17">
        <v>3.888888888888889E-2</v>
      </c>
      <c r="H128" s="17">
        <v>0.1111111111111111</v>
      </c>
      <c r="I128" s="17">
        <v>0.125</v>
      </c>
      <c r="J128" s="17">
        <v>0.18518518518518517</v>
      </c>
      <c r="K128" s="18">
        <f t="shared" si="9"/>
        <v>4.2735042735042722E-3</v>
      </c>
      <c r="L128" s="18">
        <f t="shared" si="10"/>
        <v>3.4188034188034067E-3</v>
      </c>
      <c r="M128" s="18">
        <f t="shared" si="11"/>
        <v>3.8461538461538464E-3</v>
      </c>
      <c r="N128" s="18">
        <f t="shared" si="12"/>
        <v>4.4159544159544095E-3</v>
      </c>
      <c r="O128" s="14">
        <v>0.15</v>
      </c>
      <c r="P128" s="14">
        <v>0.2</v>
      </c>
      <c r="Q128" s="14">
        <v>0.22500000000000001</v>
      </c>
      <c r="R128" s="14">
        <v>0.3</v>
      </c>
    </row>
    <row r="129" spans="1:18" x14ac:dyDescent="0.45">
      <c r="A129" s="15" t="s">
        <v>20</v>
      </c>
      <c r="B129" s="8">
        <v>2800000</v>
      </c>
      <c r="C129" s="16">
        <v>120000</v>
      </c>
      <c r="D129" s="16">
        <v>320000</v>
      </c>
      <c r="E129" s="16">
        <v>360000</v>
      </c>
      <c r="F129" s="16">
        <v>530000</v>
      </c>
      <c r="G129" s="17">
        <v>4.2857142857142858E-2</v>
      </c>
      <c r="H129" s="17">
        <v>0.11428571428571428</v>
      </c>
      <c r="I129" s="17">
        <v>0.12857142857142856</v>
      </c>
      <c r="J129" s="17">
        <v>0.18928571428571428</v>
      </c>
      <c r="K129" s="18">
        <f t="shared" si="9"/>
        <v>3.968253968253968E-3</v>
      </c>
      <c r="L129" s="18">
        <f t="shared" si="10"/>
        <v>3.1746031746031772E-3</v>
      </c>
      <c r="M129" s="18">
        <f t="shared" si="11"/>
        <v>3.5714285714285587E-3</v>
      </c>
      <c r="N129" s="18">
        <f t="shared" si="12"/>
        <v>4.1005291005291045E-3</v>
      </c>
      <c r="O129" s="14">
        <v>0.15</v>
      </c>
      <c r="P129" s="14">
        <v>0.2</v>
      </c>
      <c r="Q129" s="14">
        <v>0.22500000000000001</v>
      </c>
      <c r="R129" s="14">
        <v>0.3</v>
      </c>
    </row>
    <row r="130" spans="1:18" x14ac:dyDescent="0.45">
      <c r="A130" s="15" t="s">
        <v>20</v>
      </c>
      <c r="B130" s="8">
        <v>2900000</v>
      </c>
      <c r="C130" s="16">
        <v>135000</v>
      </c>
      <c r="D130" s="16">
        <v>340000</v>
      </c>
      <c r="E130" s="16">
        <v>382500</v>
      </c>
      <c r="F130" s="16">
        <v>560000</v>
      </c>
      <c r="G130" s="17">
        <v>4.6551724137931037E-2</v>
      </c>
      <c r="H130" s="17">
        <v>0.11724137931034483</v>
      </c>
      <c r="I130" s="17">
        <v>0.13189655172413794</v>
      </c>
      <c r="J130" s="17">
        <v>0.19310344827586207</v>
      </c>
      <c r="K130" s="18">
        <f t="shared" si="9"/>
        <v>3.6945812807881798E-3</v>
      </c>
      <c r="L130" s="18">
        <f t="shared" si="10"/>
        <v>2.9556650246305438E-3</v>
      </c>
      <c r="M130" s="18">
        <f t="shared" si="11"/>
        <v>3.3251231527093861E-3</v>
      </c>
      <c r="N130" s="18">
        <f t="shared" si="12"/>
        <v>3.8177339901477869E-3</v>
      </c>
      <c r="O130" s="14">
        <v>0.15</v>
      </c>
      <c r="P130" s="14">
        <v>0.2</v>
      </c>
      <c r="Q130" s="14">
        <v>0.22500000000000001</v>
      </c>
      <c r="R130" s="14">
        <v>0.3</v>
      </c>
    </row>
    <row r="131" spans="1:18" x14ac:dyDescent="0.45">
      <c r="A131" s="15" t="s">
        <v>20</v>
      </c>
      <c r="B131" s="8">
        <v>3000000</v>
      </c>
      <c r="C131" s="16">
        <v>150000</v>
      </c>
      <c r="D131" s="16">
        <v>360000</v>
      </c>
      <c r="E131" s="16">
        <v>405000</v>
      </c>
      <c r="F131" s="16">
        <v>590000</v>
      </c>
      <c r="G131" s="17">
        <v>0.05</v>
      </c>
      <c r="H131" s="17">
        <v>0.12</v>
      </c>
      <c r="I131" s="17">
        <v>0.13500000000000001</v>
      </c>
      <c r="J131" s="17">
        <v>0.19666666666666666</v>
      </c>
      <c r="K131" s="18">
        <f t="shared" si="9"/>
        <v>3.4482758620689655E-3</v>
      </c>
      <c r="L131" s="18">
        <f t="shared" si="10"/>
        <v>2.7586206896551696E-3</v>
      </c>
      <c r="M131" s="18">
        <f t="shared" si="11"/>
        <v>3.1034482758620641E-3</v>
      </c>
      <c r="N131" s="18">
        <f t="shared" si="12"/>
        <v>3.56321839080459E-3</v>
      </c>
      <c r="O131" s="14">
        <v>0.15</v>
      </c>
      <c r="P131" s="14">
        <v>0.2</v>
      </c>
      <c r="Q131" s="14">
        <v>0.22500000000000001</v>
      </c>
      <c r="R131" s="14">
        <v>0.3</v>
      </c>
    </row>
    <row r="132" spans="1:18" x14ac:dyDescent="0.45">
      <c r="A132" s="15" t="s">
        <v>20</v>
      </c>
      <c r="B132" s="8">
        <v>3100000</v>
      </c>
      <c r="C132" s="16">
        <v>170000</v>
      </c>
      <c r="D132" s="16">
        <v>385000</v>
      </c>
      <c r="E132" s="16">
        <v>432500</v>
      </c>
      <c r="F132" s="16">
        <v>620000</v>
      </c>
      <c r="G132" s="17">
        <v>5.4838709677419356E-2</v>
      </c>
      <c r="H132" s="17">
        <v>0.12419354838709677</v>
      </c>
      <c r="I132" s="17">
        <v>0.13951612903225807</v>
      </c>
      <c r="J132" s="17">
        <v>0.2</v>
      </c>
      <c r="K132" s="18">
        <f t="shared" si="9"/>
        <v>4.8387096774193533E-3</v>
      </c>
      <c r="L132" s="18">
        <f t="shared" si="10"/>
        <v>4.1935483870967766E-3</v>
      </c>
      <c r="M132" s="18">
        <f t="shared" si="11"/>
        <v>4.5161290322580649E-3</v>
      </c>
      <c r="N132" s="18">
        <f t="shared" si="12"/>
        <v>3.3333333333333548E-3</v>
      </c>
      <c r="O132" s="14">
        <v>0.15</v>
      </c>
      <c r="P132" s="14">
        <v>0.2</v>
      </c>
      <c r="Q132" s="14">
        <v>0.22500000000000001</v>
      </c>
      <c r="R132" s="14">
        <v>0.3</v>
      </c>
    </row>
    <row r="133" spans="1:18" x14ac:dyDescent="0.45">
      <c r="A133" s="15" t="s">
        <v>20</v>
      </c>
      <c r="B133" s="8">
        <v>3200000</v>
      </c>
      <c r="C133" s="16">
        <v>190000</v>
      </c>
      <c r="D133" s="16">
        <v>410000</v>
      </c>
      <c r="E133" s="16">
        <v>460000</v>
      </c>
      <c r="F133" s="16">
        <v>650000</v>
      </c>
      <c r="G133" s="17">
        <v>5.9374999999999997E-2</v>
      </c>
      <c r="H133" s="17">
        <v>0.12812499999999999</v>
      </c>
      <c r="I133" s="17">
        <v>0.14374999999999999</v>
      </c>
      <c r="J133" s="17">
        <v>0.203125</v>
      </c>
      <c r="K133" s="18">
        <f t="shared" si="9"/>
        <v>4.5362903225806411E-3</v>
      </c>
      <c r="L133" s="18">
        <f t="shared" si="10"/>
        <v>3.9314516129032168E-3</v>
      </c>
      <c r="M133" s="18">
        <f t="shared" si="11"/>
        <v>4.2338709677419151E-3</v>
      </c>
      <c r="N133" s="18">
        <f t="shared" si="12"/>
        <v>3.1249999999999889E-3</v>
      </c>
      <c r="O133" s="14">
        <v>0.2</v>
      </c>
      <c r="P133" s="14">
        <v>0.25</v>
      </c>
      <c r="Q133" s="14">
        <v>0.27500000000000002</v>
      </c>
      <c r="R133" s="14">
        <v>0.3</v>
      </c>
    </row>
    <row r="134" spans="1:18" x14ac:dyDescent="0.45">
      <c r="A134" s="15" t="s">
        <v>20</v>
      </c>
      <c r="B134" s="8">
        <v>3300000</v>
      </c>
      <c r="C134" s="16">
        <v>210000</v>
      </c>
      <c r="D134" s="16">
        <v>435000</v>
      </c>
      <c r="E134" s="16">
        <v>487500</v>
      </c>
      <c r="F134" s="16">
        <v>690000</v>
      </c>
      <c r="G134" s="17">
        <v>6.363636363636363E-2</v>
      </c>
      <c r="H134" s="17">
        <v>0.13181818181818181</v>
      </c>
      <c r="I134" s="17">
        <v>0.14772727272727273</v>
      </c>
      <c r="J134" s="17">
        <v>0.20909090909090908</v>
      </c>
      <c r="K134" s="18">
        <f t="shared" si="9"/>
        <v>4.2613636363636326E-3</v>
      </c>
      <c r="L134" s="18">
        <f t="shared" si="10"/>
        <v>3.6931818181818177E-3</v>
      </c>
      <c r="M134" s="18">
        <f t="shared" si="11"/>
        <v>3.9772727272727459E-3</v>
      </c>
      <c r="N134" s="18">
        <f t="shared" si="12"/>
        <v>5.9659090909090773E-3</v>
      </c>
      <c r="O134" s="14">
        <v>0.2</v>
      </c>
      <c r="P134" s="14">
        <v>0.25</v>
      </c>
      <c r="Q134" s="14">
        <v>0.27500000000000002</v>
      </c>
      <c r="R134" s="14">
        <v>0.3</v>
      </c>
    </row>
    <row r="135" spans="1:18" x14ac:dyDescent="0.45">
      <c r="A135" s="15" t="s">
        <v>20</v>
      </c>
      <c r="B135" s="8">
        <v>3400000</v>
      </c>
      <c r="C135" s="16">
        <v>230000</v>
      </c>
      <c r="D135" s="16">
        <v>460000</v>
      </c>
      <c r="E135" s="16">
        <v>515000</v>
      </c>
      <c r="F135" s="16">
        <v>730000</v>
      </c>
      <c r="G135" s="17">
        <v>6.7647058823529407E-2</v>
      </c>
      <c r="H135" s="17">
        <v>0.13529411764705881</v>
      </c>
      <c r="I135" s="17">
        <v>0.15147058823529411</v>
      </c>
      <c r="J135" s="17">
        <v>0.21470588235294116</v>
      </c>
      <c r="K135" s="18">
        <f t="shared" si="9"/>
        <v>4.0106951871657776E-3</v>
      </c>
      <c r="L135" s="18">
        <f t="shared" si="10"/>
        <v>3.4759358288770081E-3</v>
      </c>
      <c r="M135" s="18">
        <f t="shared" si="11"/>
        <v>3.743315508021372E-3</v>
      </c>
      <c r="N135" s="18">
        <f t="shared" si="12"/>
        <v>5.6149732620320858E-3</v>
      </c>
      <c r="O135" s="14">
        <v>0.2</v>
      </c>
      <c r="P135" s="14">
        <v>0.25</v>
      </c>
      <c r="Q135" s="14">
        <v>0.27500000000000002</v>
      </c>
      <c r="R135" s="14">
        <v>0.4</v>
      </c>
    </row>
    <row r="136" spans="1:18" x14ac:dyDescent="0.45">
      <c r="A136" s="15" t="s">
        <v>20</v>
      </c>
      <c r="B136" s="8">
        <v>3500000</v>
      </c>
      <c r="C136" s="16">
        <v>250000</v>
      </c>
      <c r="D136" s="16">
        <v>485000</v>
      </c>
      <c r="E136" s="16">
        <v>542500</v>
      </c>
      <c r="F136" s="16">
        <v>770000</v>
      </c>
      <c r="G136" s="17">
        <v>7.1428571428571425E-2</v>
      </c>
      <c r="H136" s="17">
        <v>0.13857142857142857</v>
      </c>
      <c r="I136" s="17">
        <v>0.155</v>
      </c>
      <c r="J136" s="17">
        <v>0.22</v>
      </c>
      <c r="K136" s="18">
        <f t="shared" si="9"/>
        <v>3.7815126050420172E-3</v>
      </c>
      <c r="L136" s="18">
        <f t="shared" si="10"/>
        <v>3.2773109243697529E-3</v>
      </c>
      <c r="M136" s="18">
        <f t="shared" si="11"/>
        <v>3.529411764705892E-3</v>
      </c>
      <c r="N136" s="18">
        <f t="shared" si="12"/>
        <v>5.294117647058838E-3</v>
      </c>
      <c r="O136" s="14">
        <v>0.2</v>
      </c>
      <c r="P136" s="14">
        <v>0.25</v>
      </c>
      <c r="Q136" s="14">
        <v>0.27500000000000002</v>
      </c>
      <c r="R136" s="14">
        <v>0.4</v>
      </c>
    </row>
    <row r="137" spans="1:18" x14ac:dyDescent="0.45">
      <c r="A137" s="15" t="s">
        <v>20</v>
      </c>
      <c r="B137" s="8">
        <v>3600000</v>
      </c>
      <c r="C137" s="16">
        <v>270000</v>
      </c>
      <c r="D137" s="16">
        <v>510000</v>
      </c>
      <c r="E137" s="16">
        <v>570000</v>
      </c>
      <c r="F137" s="16">
        <v>810000</v>
      </c>
      <c r="G137" s="17">
        <v>7.4999999999999997E-2</v>
      </c>
      <c r="H137" s="17">
        <v>0.14166666666666666</v>
      </c>
      <c r="I137" s="17">
        <v>0.15833333333333333</v>
      </c>
      <c r="J137" s="17">
        <v>0.22500000000000001</v>
      </c>
      <c r="K137" s="18">
        <f t="shared" si="9"/>
        <v>3.5714285714285726E-3</v>
      </c>
      <c r="L137" s="18">
        <f t="shared" si="10"/>
        <v>3.0952380952380953E-3</v>
      </c>
      <c r="M137" s="18">
        <f t="shared" si="11"/>
        <v>3.333333333333327E-3</v>
      </c>
      <c r="N137" s="18">
        <f t="shared" si="12"/>
        <v>5.0000000000000044E-3</v>
      </c>
      <c r="O137" s="14">
        <v>0.2</v>
      </c>
      <c r="P137" s="14">
        <v>0.25</v>
      </c>
      <c r="Q137" s="14">
        <v>0.27500000000000002</v>
      </c>
      <c r="R137" s="14">
        <v>0.4</v>
      </c>
    </row>
    <row r="138" spans="1:18" x14ac:dyDescent="0.45">
      <c r="A138" s="15" t="s">
        <v>20</v>
      </c>
      <c r="B138" s="8">
        <v>3700000</v>
      </c>
      <c r="C138" s="16">
        <v>290000</v>
      </c>
      <c r="D138" s="16">
        <v>535000</v>
      </c>
      <c r="E138" s="16">
        <v>597500</v>
      </c>
      <c r="F138" s="16">
        <v>850000</v>
      </c>
      <c r="G138" s="17">
        <v>7.8378378378378383E-2</v>
      </c>
      <c r="H138" s="17">
        <v>0.14459459459459459</v>
      </c>
      <c r="I138" s="17">
        <v>0.16148648648648647</v>
      </c>
      <c r="J138" s="17">
        <v>0.22972972972972974</v>
      </c>
      <c r="K138" s="18">
        <f t="shared" si="9"/>
        <v>3.3783783783783855E-3</v>
      </c>
      <c r="L138" s="18">
        <f t="shared" si="10"/>
        <v>2.9279279279279258E-3</v>
      </c>
      <c r="M138" s="18">
        <f t="shared" si="11"/>
        <v>3.1531531531531487E-3</v>
      </c>
      <c r="N138" s="18">
        <f t="shared" si="12"/>
        <v>4.7297297297297369E-3</v>
      </c>
      <c r="O138" s="14">
        <v>0.2</v>
      </c>
      <c r="P138" s="14">
        <v>0.25</v>
      </c>
      <c r="Q138" s="14">
        <v>0.27500000000000002</v>
      </c>
      <c r="R138" s="14">
        <v>0.4</v>
      </c>
    </row>
    <row r="139" spans="1:18" x14ac:dyDescent="0.45">
      <c r="A139" s="15" t="s">
        <v>20</v>
      </c>
      <c r="B139" s="8">
        <v>3800000</v>
      </c>
      <c r="C139" s="16">
        <v>310000</v>
      </c>
      <c r="D139" s="16">
        <v>560000</v>
      </c>
      <c r="E139" s="16">
        <v>625000</v>
      </c>
      <c r="F139" s="16">
        <v>890000</v>
      </c>
      <c r="G139" s="17">
        <v>8.1578947368421056E-2</v>
      </c>
      <c r="H139" s="17">
        <v>0.14736842105263157</v>
      </c>
      <c r="I139" s="17">
        <v>0.16447368421052633</v>
      </c>
      <c r="J139" s="17">
        <v>0.23421052631578948</v>
      </c>
      <c r="K139" s="18">
        <f t="shared" si="9"/>
        <v>3.2005689900426737E-3</v>
      </c>
      <c r="L139" s="18">
        <f t="shared" si="10"/>
        <v>2.7738264580369765E-3</v>
      </c>
      <c r="M139" s="18">
        <f t="shared" si="11"/>
        <v>2.9871977240398528E-3</v>
      </c>
      <c r="N139" s="18">
        <f t="shared" si="12"/>
        <v>4.4807965860597376E-3</v>
      </c>
      <c r="O139" s="14">
        <v>0.2</v>
      </c>
      <c r="P139" s="14">
        <v>0.25</v>
      </c>
      <c r="Q139" s="14">
        <v>0.27500000000000002</v>
      </c>
      <c r="R139" s="14">
        <v>0.4</v>
      </c>
    </row>
    <row r="140" spans="1:18" x14ac:dyDescent="0.45">
      <c r="A140" s="15" t="s">
        <v>20</v>
      </c>
      <c r="B140" s="8">
        <v>3900000</v>
      </c>
      <c r="C140" s="16">
        <v>330000</v>
      </c>
      <c r="D140" s="16">
        <v>585000</v>
      </c>
      <c r="E140" s="16">
        <v>652500</v>
      </c>
      <c r="F140" s="16">
        <v>930000</v>
      </c>
      <c r="G140" s="17">
        <v>8.461538461538462E-2</v>
      </c>
      <c r="H140" s="17">
        <v>0.15</v>
      </c>
      <c r="I140" s="17">
        <v>0.1673076923076923</v>
      </c>
      <c r="J140" s="17">
        <v>0.23846153846153847</v>
      </c>
      <c r="K140" s="18">
        <f t="shared" si="9"/>
        <v>3.0364372469635637E-3</v>
      </c>
      <c r="L140" s="18">
        <f t="shared" si="10"/>
        <v>2.6315789473684292E-3</v>
      </c>
      <c r="M140" s="18">
        <f t="shared" si="11"/>
        <v>2.8340080971659687E-3</v>
      </c>
      <c r="N140" s="18">
        <f t="shared" si="12"/>
        <v>4.2510121457489947E-3</v>
      </c>
      <c r="O140" s="14">
        <v>0.2</v>
      </c>
      <c r="P140" s="14">
        <v>0.25</v>
      </c>
      <c r="Q140" s="14">
        <v>0.27500000000000002</v>
      </c>
      <c r="R140" s="14">
        <v>0.4</v>
      </c>
    </row>
    <row r="141" spans="1:18" x14ac:dyDescent="0.45">
      <c r="A141" s="15" t="s">
        <v>20</v>
      </c>
      <c r="B141" s="8">
        <v>4000000</v>
      </c>
      <c r="C141" s="16">
        <v>350000</v>
      </c>
      <c r="D141" s="16">
        <v>610000</v>
      </c>
      <c r="E141" s="16">
        <v>680000</v>
      </c>
      <c r="F141" s="16">
        <v>970000</v>
      </c>
      <c r="G141" s="17">
        <v>8.7499999999999994E-2</v>
      </c>
      <c r="H141" s="17">
        <v>0.1525</v>
      </c>
      <c r="I141" s="17">
        <v>0.17</v>
      </c>
      <c r="J141" s="17">
        <v>0.24249999999999999</v>
      </c>
      <c r="K141" s="18">
        <f t="shared" si="9"/>
        <v>2.8846153846153744E-3</v>
      </c>
      <c r="L141" s="18">
        <f t="shared" si="10"/>
        <v>2.5000000000000022E-3</v>
      </c>
      <c r="M141" s="18">
        <f t="shared" si="11"/>
        <v>2.692307692307716E-3</v>
      </c>
      <c r="N141" s="18">
        <f t="shared" si="12"/>
        <v>4.0384615384615186E-3</v>
      </c>
      <c r="O141" s="14">
        <v>0.2</v>
      </c>
      <c r="P141" s="14">
        <v>0.25</v>
      </c>
      <c r="Q141" s="14">
        <v>0.27500000000000002</v>
      </c>
      <c r="R141" s="14">
        <v>0.4</v>
      </c>
    </row>
    <row r="142" spans="1:18" x14ac:dyDescent="0.45">
      <c r="A142" s="15" t="s">
        <v>20</v>
      </c>
      <c r="B142" s="8">
        <v>4100000</v>
      </c>
      <c r="C142" s="16">
        <v>375000</v>
      </c>
      <c r="D142" s="16">
        <v>640000</v>
      </c>
      <c r="E142" s="16">
        <v>712500</v>
      </c>
      <c r="F142" s="16">
        <v>1010000</v>
      </c>
      <c r="G142" s="17">
        <v>9.1463414634146339E-2</v>
      </c>
      <c r="H142" s="17">
        <v>0.15609756097560976</v>
      </c>
      <c r="I142" s="17">
        <v>0.17378048780487804</v>
      </c>
      <c r="J142" s="17">
        <v>0.24634146341463414</v>
      </c>
      <c r="K142" s="18">
        <f t="shared" si="9"/>
        <v>3.963414634146345E-3</v>
      </c>
      <c r="L142" s="18">
        <f t="shared" si="10"/>
        <v>3.5975609756097593E-3</v>
      </c>
      <c r="M142" s="18">
        <f t="shared" si="11"/>
        <v>3.7804878048780244E-3</v>
      </c>
      <c r="N142" s="18">
        <f t="shared" si="12"/>
        <v>3.8414634146341498E-3</v>
      </c>
      <c r="O142" s="14">
        <v>0.2</v>
      </c>
      <c r="P142" s="14">
        <v>0.25</v>
      </c>
      <c r="Q142" s="14">
        <v>0.27500000000000002</v>
      </c>
      <c r="R142" s="14">
        <v>0.4</v>
      </c>
    </row>
    <row r="143" spans="1:18" x14ac:dyDescent="0.45">
      <c r="A143" s="15" t="s">
        <v>20</v>
      </c>
      <c r="B143" s="8">
        <v>4200000</v>
      </c>
      <c r="C143" s="16">
        <v>400000</v>
      </c>
      <c r="D143" s="16">
        <v>670000</v>
      </c>
      <c r="E143" s="16">
        <v>745000</v>
      </c>
      <c r="F143" s="16">
        <v>1050000</v>
      </c>
      <c r="G143" s="17">
        <v>9.5238095238095233E-2</v>
      </c>
      <c r="H143" s="17">
        <v>0.15952380952380951</v>
      </c>
      <c r="I143" s="17">
        <v>0.17738095238095239</v>
      </c>
      <c r="J143" s="17">
        <v>0.25</v>
      </c>
      <c r="K143" s="18">
        <f t="shared" si="9"/>
        <v>3.7746806039488934E-3</v>
      </c>
      <c r="L143" s="18">
        <f t="shared" si="10"/>
        <v>3.4262485481997562E-3</v>
      </c>
      <c r="M143" s="18">
        <f t="shared" si="11"/>
        <v>3.6004645760743526E-3</v>
      </c>
      <c r="N143" s="18">
        <f t="shared" si="12"/>
        <v>3.6585365853658569E-3</v>
      </c>
      <c r="O143" s="14">
        <v>0.25</v>
      </c>
      <c r="P143" s="14">
        <v>0.3</v>
      </c>
      <c r="Q143" s="14">
        <v>0.32500000000000001</v>
      </c>
      <c r="R143" s="14">
        <v>0.4</v>
      </c>
    </row>
    <row r="144" spans="1:18" x14ac:dyDescent="0.45">
      <c r="A144" s="15" t="s">
        <v>20</v>
      </c>
      <c r="B144" s="8">
        <v>4300000</v>
      </c>
      <c r="C144" s="16">
        <v>425000</v>
      </c>
      <c r="D144" s="16">
        <v>700000</v>
      </c>
      <c r="E144" s="16">
        <v>777500</v>
      </c>
      <c r="F144" s="16">
        <v>1090000</v>
      </c>
      <c r="G144" s="17">
        <v>9.8837209302325577E-2</v>
      </c>
      <c r="H144" s="17">
        <v>0.16279069767441862</v>
      </c>
      <c r="I144" s="17">
        <v>0.18081395348837209</v>
      </c>
      <c r="J144" s="17">
        <v>0.25348837209302327</v>
      </c>
      <c r="K144" s="18">
        <f t="shared" si="9"/>
        <v>3.5991140642303437E-3</v>
      </c>
      <c r="L144" s="18">
        <f t="shared" si="10"/>
        <v>3.2668881506091041E-3</v>
      </c>
      <c r="M144" s="18">
        <f t="shared" si="11"/>
        <v>3.4330011074197031E-3</v>
      </c>
      <c r="N144" s="18">
        <f t="shared" si="12"/>
        <v>3.4883720930232731E-3</v>
      </c>
      <c r="O144" s="14">
        <v>0.25</v>
      </c>
      <c r="P144" s="14">
        <v>0.3</v>
      </c>
      <c r="Q144" s="14">
        <v>0.32500000000000001</v>
      </c>
      <c r="R144" s="14">
        <v>0.4</v>
      </c>
    </row>
    <row r="145" spans="1:18" x14ac:dyDescent="0.45">
      <c r="A145" s="15" t="s">
        <v>20</v>
      </c>
      <c r="B145" s="8">
        <v>4400000</v>
      </c>
      <c r="C145" s="16">
        <v>450000</v>
      </c>
      <c r="D145" s="16">
        <v>730000</v>
      </c>
      <c r="E145" s="16">
        <v>810000</v>
      </c>
      <c r="F145" s="16">
        <v>1130000</v>
      </c>
      <c r="G145" s="17">
        <v>0.10227272727272728</v>
      </c>
      <c r="H145" s="17">
        <v>0.16590909090909092</v>
      </c>
      <c r="I145" s="17">
        <v>0.18409090909090908</v>
      </c>
      <c r="J145" s="17">
        <v>0.25681818181818183</v>
      </c>
      <c r="K145" s="18">
        <f t="shared" si="9"/>
        <v>3.4355179704017025E-3</v>
      </c>
      <c r="L145" s="18">
        <f t="shared" si="10"/>
        <v>3.1183932346723064E-3</v>
      </c>
      <c r="M145" s="18">
        <f t="shared" si="11"/>
        <v>3.2769556025369906E-3</v>
      </c>
      <c r="N145" s="18">
        <f t="shared" si="12"/>
        <v>3.3298097251585612E-3</v>
      </c>
      <c r="O145" s="14">
        <v>0.25</v>
      </c>
      <c r="P145" s="14">
        <v>0.3</v>
      </c>
      <c r="Q145" s="14">
        <v>0.32500000000000001</v>
      </c>
      <c r="R145" s="14">
        <v>0.4</v>
      </c>
    </row>
    <row r="146" spans="1:18" x14ac:dyDescent="0.45">
      <c r="A146" s="15" t="s">
        <v>20</v>
      </c>
      <c r="B146" s="8">
        <v>4500000</v>
      </c>
      <c r="C146" s="16">
        <v>475000</v>
      </c>
      <c r="D146" s="16">
        <v>760000</v>
      </c>
      <c r="E146" s="16">
        <v>842500</v>
      </c>
      <c r="F146" s="16">
        <v>1170000</v>
      </c>
      <c r="G146" s="17">
        <v>0.10555555555555556</v>
      </c>
      <c r="H146" s="17">
        <v>0.16888888888888889</v>
      </c>
      <c r="I146" s="17">
        <v>0.18722222222222223</v>
      </c>
      <c r="J146" s="17">
        <v>0.26</v>
      </c>
      <c r="K146" s="18">
        <f t="shared" si="9"/>
        <v>3.2828282828282762E-3</v>
      </c>
      <c r="L146" s="18">
        <f t="shared" si="10"/>
        <v>2.9797979797979712E-3</v>
      </c>
      <c r="M146" s="18">
        <f t="shared" si="11"/>
        <v>3.1313131313131515E-3</v>
      </c>
      <c r="N146" s="18">
        <f t="shared" si="12"/>
        <v>3.1818181818181746E-3</v>
      </c>
      <c r="O146" s="14">
        <v>0.25</v>
      </c>
      <c r="P146" s="14">
        <v>0.3</v>
      </c>
      <c r="Q146" s="14">
        <v>0.32500000000000001</v>
      </c>
      <c r="R146" s="14">
        <v>0.4</v>
      </c>
    </row>
    <row r="147" spans="1:18" x14ac:dyDescent="0.45">
      <c r="A147" s="15" t="s">
        <v>20</v>
      </c>
      <c r="B147" s="8">
        <v>4600000</v>
      </c>
      <c r="C147" s="16">
        <v>500000</v>
      </c>
      <c r="D147" s="16">
        <v>790000</v>
      </c>
      <c r="E147" s="16">
        <v>875000</v>
      </c>
      <c r="F147" s="16">
        <v>1210000</v>
      </c>
      <c r="G147" s="17">
        <v>0.10869565217391304</v>
      </c>
      <c r="H147" s="17">
        <v>0.17173913043478262</v>
      </c>
      <c r="I147" s="17">
        <v>0.19021739130434784</v>
      </c>
      <c r="J147" s="17">
        <v>0.26304347826086955</v>
      </c>
      <c r="K147" s="18">
        <f t="shared" si="9"/>
        <v>3.1400966183574852E-3</v>
      </c>
      <c r="L147" s="18">
        <f t="shared" si="10"/>
        <v>2.8502415458937225E-3</v>
      </c>
      <c r="M147" s="18">
        <f t="shared" si="11"/>
        <v>2.9951690821256038E-3</v>
      </c>
      <c r="N147" s="18">
        <f t="shared" si="12"/>
        <v>3.0434782608695365E-3</v>
      </c>
      <c r="O147" s="14">
        <v>0.25</v>
      </c>
      <c r="P147" s="14">
        <v>0.3</v>
      </c>
      <c r="Q147" s="14">
        <v>0.32500000000000001</v>
      </c>
      <c r="R147" s="14">
        <v>0.4</v>
      </c>
    </row>
    <row r="148" spans="1:18" x14ac:dyDescent="0.45">
      <c r="A148" s="15" t="s">
        <v>20</v>
      </c>
      <c r="B148" s="8">
        <v>4700000</v>
      </c>
      <c r="C148" s="16">
        <v>525000</v>
      </c>
      <c r="D148" s="16">
        <v>820000</v>
      </c>
      <c r="E148" s="16">
        <v>907500</v>
      </c>
      <c r="F148" s="16">
        <v>1250000</v>
      </c>
      <c r="G148" s="17">
        <v>0.11170212765957446</v>
      </c>
      <c r="H148" s="17">
        <v>0.17446808510638298</v>
      </c>
      <c r="I148" s="17">
        <v>0.19308510638297871</v>
      </c>
      <c r="J148" s="17">
        <v>0.26595744680851063</v>
      </c>
      <c r="K148" s="18">
        <f t="shared" si="9"/>
        <v>3.0064754856614223E-3</v>
      </c>
      <c r="L148" s="18">
        <f t="shared" si="10"/>
        <v>2.7289546716003643E-3</v>
      </c>
      <c r="M148" s="18">
        <f t="shared" si="11"/>
        <v>2.8677150786308725E-3</v>
      </c>
      <c r="N148" s="18">
        <f t="shared" si="12"/>
        <v>2.9139685476410881E-3</v>
      </c>
      <c r="O148" s="14">
        <v>0.25</v>
      </c>
      <c r="P148" s="14">
        <v>0.3</v>
      </c>
      <c r="Q148" s="14">
        <v>0.32500000000000001</v>
      </c>
      <c r="R148" s="14">
        <v>0.4</v>
      </c>
    </row>
    <row r="149" spans="1:18" x14ac:dyDescent="0.45">
      <c r="A149" s="15" t="s">
        <v>20</v>
      </c>
      <c r="B149" s="8">
        <v>4800000</v>
      </c>
      <c r="C149" s="16">
        <v>550000</v>
      </c>
      <c r="D149" s="16">
        <v>850000</v>
      </c>
      <c r="E149" s="16">
        <v>940000</v>
      </c>
      <c r="F149" s="16">
        <v>1290000</v>
      </c>
      <c r="G149" s="17">
        <v>0.11458333333333333</v>
      </c>
      <c r="H149" s="17">
        <v>0.17708333333333334</v>
      </c>
      <c r="I149" s="17">
        <v>0.19583333333333333</v>
      </c>
      <c r="J149" s="17">
        <v>0.26874999999999999</v>
      </c>
      <c r="K149" s="18">
        <f t="shared" si="9"/>
        <v>2.8812056737588659E-3</v>
      </c>
      <c r="L149" s="18">
        <f t="shared" si="10"/>
        <v>2.6152482269503619E-3</v>
      </c>
      <c r="M149" s="18">
        <f t="shared" si="11"/>
        <v>2.7482269503546208E-3</v>
      </c>
      <c r="N149" s="18">
        <f t="shared" si="12"/>
        <v>2.7925531914893553E-3</v>
      </c>
      <c r="O149" s="14">
        <v>0.25</v>
      </c>
      <c r="P149" s="14">
        <v>0.3</v>
      </c>
      <c r="Q149" s="14">
        <v>0.32500000000000001</v>
      </c>
      <c r="R149" s="14">
        <v>0.4</v>
      </c>
    </row>
    <row r="150" spans="1:18" x14ac:dyDescent="0.45">
      <c r="A150" s="15" t="s">
        <v>20</v>
      </c>
      <c r="B150" s="8">
        <v>4900000</v>
      </c>
      <c r="C150" s="16">
        <v>575000</v>
      </c>
      <c r="D150" s="16">
        <v>880000</v>
      </c>
      <c r="E150" s="16">
        <v>972500</v>
      </c>
      <c r="F150" s="16">
        <v>1330000</v>
      </c>
      <c r="G150" s="17">
        <v>0.11734693877551021</v>
      </c>
      <c r="H150" s="17">
        <v>0.17959183673469387</v>
      </c>
      <c r="I150" s="17">
        <v>0.19846938775510203</v>
      </c>
      <c r="J150" s="17">
        <v>0.27142857142857141</v>
      </c>
      <c r="K150" s="18">
        <f t="shared" si="9"/>
        <v>2.7636054421768808E-3</v>
      </c>
      <c r="L150" s="18">
        <f t="shared" si="10"/>
        <v>2.5085034013605234E-3</v>
      </c>
      <c r="M150" s="18">
        <f t="shared" si="11"/>
        <v>2.6360544217687021E-3</v>
      </c>
      <c r="N150" s="18">
        <f t="shared" si="12"/>
        <v>2.6785714285714191E-3</v>
      </c>
      <c r="O150" s="14">
        <v>0.25</v>
      </c>
      <c r="P150" s="14">
        <v>0.3</v>
      </c>
      <c r="Q150" s="14">
        <v>0.32500000000000001</v>
      </c>
      <c r="R150" s="14">
        <v>0.4</v>
      </c>
    </row>
    <row r="151" spans="1:18" x14ac:dyDescent="0.45">
      <c r="A151" s="15" t="s">
        <v>20</v>
      </c>
      <c r="B151" s="8">
        <v>5000000</v>
      </c>
      <c r="C151" s="16">
        <v>600000</v>
      </c>
      <c r="D151" s="16">
        <v>910000</v>
      </c>
      <c r="E151" s="16">
        <v>1005000</v>
      </c>
      <c r="F151" s="16">
        <v>1370000</v>
      </c>
      <c r="G151" s="17">
        <v>0.12</v>
      </c>
      <c r="H151" s="17">
        <v>0.182</v>
      </c>
      <c r="I151" s="17">
        <v>0.20100000000000001</v>
      </c>
      <c r="J151" s="17">
        <v>0.27400000000000002</v>
      </c>
      <c r="K151" s="18">
        <f t="shared" si="9"/>
        <v>2.6530612244897861E-3</v>
      </c>
      <c r="L151" s="18">
        <f t="shared" si="10"/>
        <v>2.4081632653061291E-3</v>
      </c>
      <c r="M151" s="18">
        <f t="shared" si="11"/>
        <v>2.5306122448979784E-3</v>
      </c>
      <c r="N151" s="18">
        <f t="shared" si="12"/>
        <v>2.5714285714286134E-3</v>
      </c>
      <c r="O151" s="14">
        <v>0.25</v>
      </c>
      <c r="P151" s="14">
        <v>0.3</v>
      </c>
      <c r="Q151" s="14">
        <v>0.32500000000000001</v>
      </c>
      <c r="R151" s="14">
        <v>0.4</v>
      </c>
    </row>
    <row r="152" spans="1:18" x14ac:dyDescent="0.45">
      <c r="A152" s="15" t="s">
        <v>20</v>
      </c>
      <c r="B152" s="8">
        <v>5100000</v>
      </c>
      <c r="C152" s="16">
        <v>629000</v>
      </c>
      <c r="D152" s="16">
        <v>940000</v>
      </c>
      <c r="E152" s="16">
        <v>1037500</v>
      </c>
      <c r="F152" s="16">
        <v>1410000</v>
      </c>
      <c r="G152" s="17">
        <v>0.12333333333333334</v>
      </c>
      <c r="H152" s="17">
        <v>0.18431372549019609</v>
      </c>
      <c r="I152" s="17">
        <v>0.20343137254901961</v>
      </c>
      <c r="J152" s="17">
        <v>0.27647058823529413</v>
      </c>
      <c r="K152" s="18">
        <f t="shared" si="9"/>
        <v>3.3333333333333409E-3</v>
      </c>
      <c r="L152" s="18">
        <f t="shared" si="10"/>
        <v>2.3137254901960946E-3</v>
      </c>
      <c r="M152" s="18">
        <f t="shared" si="11"/>
        <v>2.4313725490195948E-3</v>
      </c>
      <c r="N152" s="18">
        <f t="shared" si="12"/>
        <v>2.4705882352941133E-3</v>
      </c>
      <c r="O152" s="14">
        <v>0.25</v>
      </c>
      <c r="P152" s="14">
        <v>0.3</v>
      </c>
      <c r="Q152" s="14">
        <v>0.32500000000000001</v>
      </c>
      <c r="R152" s="14">
        <v>0.4</v>
      </c>
    </row>
    <row r="153" spans="1:18" x14ac:dyDescent="0.45">
      <c r="A153" s="15" t="s">
        <v>20</v>
      </c>
      <c r="B153" s="8">
        <v>5200000</v>
      </c>
      <c r="C153" s="16">
        <v>658000</v>
      </c>
      <c r="D153" s="16">
        <v>970000</v>
      </c>
      <c r="E153" s="16">
        <v>1070000</v>
      </c>
      <c r="F153" s="16">
        <v>1450000</v>
      </c>
      <c r="G153" s="17">
        <v>0.12653846153846154</v>
      </c>
      <c r="H153" s="17">
        <v>0.18653846153846154</v>
      </c>
      <c r="I153" s="17">
        <v>0.20576923076923076</v>
      </c>
      <c r="J153" s="17">
        <v>0.27884615384615385</v>
      </c>
      <c r="K153" s="18">
        <f t="shared" si="9"/>
        <v>3.2051282051282076E-3</v>
      </c>
      <c r="L153" s="18">
        <f t="shared" si="10"/>
        <v>2.2247360482654521E-3</v>
      </c>
      <c r="M153" s="18">
        <f t="shared" si="11"/>
        <v>2.3378582202111531E-3</v>
      </c>
      <c r="N153" s="18">
        <f t="shared" si="12"/>
        <v>2.3755656108597201E-3</v>
      </c>
      <c r="O153" s="14">
        <v>0.28999999999999998</v>
      </c>
      <c r="P153" s="14">
        <v>0.3</v>
      </c>
      <c r="Q153" s="14">
        <v>0.32500000000000001</v>
      </c>
      <c r="R153" s="14">
        <v>0.4</v>
      </c>
    </row>
    <row r="154" spans="1:18" x14ac:dyDescent="0.45">
      <c r="A154" s="15" t="s">
        <v>20</v>
      </c>
      <c r="B154" s="8">
        <v>5300000</v>
      </c>
      <c r="C154" s="16">
        <v>687000</v>
      </c>
      <c r="D154" s="16">
        <v>1000000</v>
      </c>
      <c r="E154" s="16">
        <v>1102500</v>
      </c>
      <c r="F154" s="16">
        <v>1490000</v>
      </c>
      <c r="G154" s="17">
        <v>0.12962264150943395</v>
      </c>
      <c r="H154" s="17">
        <v>0.18867924528301888</v>
      </c>
      <c r="I154" s="17">
        <v>0.20801886792452831</v>
      </c>
      <c r="J154" s="17">
        <v>0.28113207547169811</v>
      </c>
      <c r="K154" s="18">
        <f t="shared" si="9"/>
        <v>3.084179970972406E-3</v>
      </c>
      <c r="L154" s="18">
        <f t="shared" si="10"/>
        <v>2.1407837445573397E-3</v>
      </c>
      <c r="M154" s="18">
        <f t="shared" si="11"/>
        <v>2.2496371552975514E-3</v>
      </c>
      <c r="N154" s="18">
        <f t="shared" si="12"/>
        <v>2.2859216255442516E-3</v>
      </c>
      <c r="O154" s="14">
        <v>0.28999999999999998</v>
      </c>
      <c r="P154" s="14">
        <v>0.3</v>
      </c>
      <c r="Q154" s="14">
        <v>0.32500000000000001</v>
      </c>
      <c r="R154" s="14">
        <v>0.4</v>
      </c>
    </row>
    <row r="155" spans="1:18" x14ac:dyDescent="0.45">
      <c r="A155" s="15" t="s">
        <v>20</v>
      </c>
      <c r="B155" s="8">
        <v>5400000</v>
      </c>
      <c r="C155" s="16">
        <v>716000</v>
      </c>
      <c r="D155" s="16">
        <v>1030000</v>
      </c>
      <c r="E155" s="16">
        <v>1135000</v>
      </c>
      <c r="F155" s="16">
        <v>1530000</v>
      </c>
      <c r="G155" s="17">
        <v>0.1325925925925926</v>
      </c>
      <c r="H155" s="17">
        <v>0.19074074074074074</v>
      </c>
      <c r="I155" s="17">
        <v>0.2101851851851852</v>
      </c>
      <c r="J155" s="17">
        <v>0.28333333333333333</v>
      </c>
      <c r="K155" s="18">
        <f t="shared" si="9"/>
        <v>2.9699510831586451E-3</v>
      </c>
      <c r="L155" s="18">
        <f t="shared" si="10"/>
        <v>2.0614954577218569E-3</v>
      </c>
      <c r="M155" s="18">
        <f t="shared" si="11"/>
        <v>2.1663172606568859E-3</v>
      </c>
      <c r="N155" s="18">
        <f t="shared" si="12"/>
        <v>2.2012578616352196E-3</v>
      </c>
      <c r="O155" s="14">
        <v>0.28999999999999998</v>
      </c>
      <c r="P155" s="14">
        <v>0.3</v>
      </c>
      <c r="Q155" s="14">
        <v>0.32500000000000001</v>
      </c>
      <c r="R155" s="14">
        <v>0.4</v>
      </c>
    </row>
    <row r="156" spans="1:18" x14ac:dyDescent="0.45">
      <c r="A156" s="15" t="s">
        <v>20</v>
      </c>
      <c r="B156" s="8">
        <v>5500000</v>
      </c>
      <c r="C156" s="16">
        <v>745000</v>
      </c>
      <c r="D156" s="16">
        <v>1060000</v>
      </c>
      <c r="E156" s="16">
        <v>1167500</v>
      </c>
      <c r="F156" s="16">
        <v>1570000</v>
      </c>
      <c r="G156" s="17">
        <v>0.13545454545454547</v>
      </c>
      <c r="H156" s="17">
        <v>0.19272727272727272</v>
      </c>
      <c r="I156" s="17">
        <v>0.21227272727272728</v>
      </c>
      <c r="J156" s="17">
        <v>0.28545454545454546</v>
      </c>
      <c r="K156" s="18">
        <f t="shared" si="9"/>
        <v>2.8619528619528711E-3</v>
      </c>
      <c r="L156" s="18">
        <f t="shared" si="10"/>
        <v>1.9865319865319808E-3</v>
      </c>
      <c r="M156" s="18">
        <f t="shared" si="11"/>
        <v>2.0875420875420825E-3</v>
      </c>
      <c r="N156" s="18">
        <f t="shared" si="12"/>
        <v>2.1212121212121349E-3</v>
      </c>
      <c r="O156" s="14">
        <v>0.28999999999999998</v>
      </c>
      <c r="P156" s="14">
        <v>0.3</v>
      </c>
      <c r="Q156" s="14">
        <v>0.32500000000000001</v>
      </c>
      <c r="R156" s="14">
        <v>0.4</v>
      </c>
    </row>
    <row r="157" spans="1:18" x14ac:dyDescent="0.45">
      <c r="A157" s="15" t="s">
        <v>20</v>
      </c>
      <c r="B157" s="8">
        <v>5600000</v>
      </c>
      <c r="C157" s="16">
        <v>774000</v>
      </c>
      <c r="D157" s="16">
        <v>1090000</v>
      </c>
      <c r="E157" s="16">
        <v>1200000</v>
      </c>
      <c r="F157" s="16">
        <v>1610000</v>
      </c>
      <c r="G157" s="17">
        <v>0.13821428571428571</v>
      </c>
      <c r="H157" s="17">
        <v>0.19464285714285715</v>
      </c>
      <c r="I157" s="17">
        <v>0.21428571428571427</v>
      </c>
      <c r="J157" s="17">
        <v>0.28749999999999998</v>
      </c>
      <c r="K157" s="18">
        <f t="shared" si="9"/>
        <v>2.7597402597402398E-3</v>
      </c>
      <c r="L157" s="18">
        <f t="shared" si="10"/>
        <v>1.9155844155844259E-3</v>
      </c>
      <c r="M157" s="18">
        <f t="shared" si="11"/>
        <v>2.0129870129869942E-3</v>
      </c>
      <c r="N157" s="18">
        <f t="shared" si="12"/>
        <v>2.045454545454517E-3</v>
      </c>
      <c r="O157" s="14">
        <v>0.28999999999999998</v>
      </c>
      <c r="P157" s="14">
        <v>0.3</v>
      </c>
      <c r="Q157" s="14">
        <v>0.32500000000000001</v>
      </c>
      <c r="R157" s="14">
        <v>0.4</v>
      </c>
    </row>
    <row r="158" spans="1:18" x14ac:dyDescent="0.45">
      <c r="A158" s="15" t="s">
        <v>20</v>
      </c>
      <c r="B158" s="8">
        <v>5700000</v>
      </c>
      <c r="C158" s="16">
        <v>803000</v>
      </c>
      <c r="D158" s="16">
        <v>1120000</v>
      </c>
      <c r="E158" s="16">
        <v>1232500</v>
      </c>
      <c r="F158" s="16">
        <v>1655000</v>
      </c>
      <c r="G158" s="17">
        <v>0.14087719298245613</v>
      </c>
      <c r="H158" s="17">
        <v>0.19649122807017544</v>
      </c>
      <c r="I158" s="17">
        <v>0.2162280701754386</v>
      </c>
      <c r="J158" s="17">
        <v>0.29035087719298247</v>
      </c>
      <c r="K158" s="18">
        <f t="shared" si="9"/>
        <v>2.6629072681704224E-3</v>
      </c>
      <c r="L158" s="18">
        <f t="shared" si="10"/>
        <v>1.8483709273182936E-3</v>
      </c>
      <c r="M158" s="18">
        <f t="shared" si="11"/>
        <v>1.9423558897243287E-3</v>
      </c>
      <c r="N158" s="18">
        <f t="shared" si="12"/>
        <v>2.8508771929824928E-3</v>
      </c>
      <c r="O158" s="14">
        <v>0.28999999999999998</v>
      </c>
      <c r="P158" s="14">
        <v>0.3</v>
      </c>
      <c r="Q158" s="14">
        <v>0.32500000000000001</v>
      </c>
      <c r="R158" s="14">
        <v>0.4</v>
      </c>
    </row>
    <row r="159" spans="1:18" x14ac:dyDescent="0.45">
      <c r="A159" s="15" t="s">
        <v>20</v>
      </c>
      <c r="B159" s="8">
        <v>5800000</v>
      </c>
      <c r="C159" s="16">
        <v>832000</v>
      </c>
      <c r="D159" s="16">
        <v>1150000</v>
      </c>
      <c r="E159" s="16">
        <v>1265000</v>
      </c>
      <c r="F159" s="16">
        <v>1700000</v>
      </c>
      <c r="G159" s="17">
        <v>0.14344827586206896</v>
      </c>
      <c r="H159" s="17">
        <v>0.19827586206896552</v>
      </c>
      <c r="I159" s="17">
        <v>0.21810344827586206</v>
      </c>
      <c r="J159" s="17">
        <v>0.29310344827586204</v>
      </c>
      <c r="K159" s="18">
        <f t="shared" si="9"/>
        <v>2.5710828796128293E-3</v>
      </c>
      <c r="L159" s="18">
        <f t="shared" si="10"/>
        <v>1.7846339987900861E-3</v>
      </c>
      <c r="M159" s="18">
        <f t="shared" si="11"/>
        <v>1.8753781004234582E-3</v>
      </c>
      <c r="N159" s="18">
        <f t="shared" si="12"/>
        <v>2.7525710828795735E-3</v>
      </c>
      <c r="O159" s="14">
        <v>0.28999999999999998</v>
      </c>
      <c r="P159" s="14">
        <v>0.3</v>
      </c>
      <c r="Q159" s="14">
        <v>0.32500000000000001</v>
      </c>
      <c r="R159" s="14">
        <v>0.45</v>
      </c>
    </row>
    <row r="160" spans="1:18" x14ac:dyDescent="0.45">
      <c r="A160" s="15" t="s">
        <v>20</v>
      </c>
      <c r="B160" s="8">
        <v>5900000</v>
      </c>
      <c r="C160" s="16">
        <v>861000</v>
      </c>
      <c r="D160" s="16">
        <v>1180000</v>
      </c>
      <c r="E160" s="16">
        <v>1297500</v>
      </c>
      <c r="F160" s="16">
        <v>1745000</v>
      </c>
      <c r="G160" s="17">
        <v>0.14593220338983051</v>
      </c>
      <c r="H160" s="17">
        <v>0.2</v>
      </c>
      <c r="I160" s="17">
        <v>0.21991525423728814</v>
      </c>
      <c r="J160" s="17">
        <v>0.29576271186440678</v>
      </c>
      <c r="K160" s="18">
        <f t="shared" si="9"/>
        <v>2.4839275277615536E-3</v>
      </c>
      <c r="L160" s="18">
        <f t="shared" si="10"/>
        <v>1.7241379310344862E-3</v>
      </c>
      <c r="M160" s="18">
        <f t="shared" si="11"/>
        <v>1.8118059614260773E-3</v>
      </c>
      <c r="N160" s="18">
        <f t="shared" si="12"/>
        <v>2.6592635885447358E-3</v>
      </c>
      <c r="O160" s="14">
        <v>0.28999999999999998</v>
      </c>
      <c r="P160" s="14">
        <v>0.3</v>
      </c>
      <c r="Q160" s="14">
        <v>0.32500000000000001</v>
      </c>
      <c r="R160" s="14">
        <v>0.45</v>
      </c>
    </row>
    <row r="161" spans="1:18" x14ac:dyDescent="0.45">
      <c r="A161" s="15" t="s">
        <v>20</v>
      </c>
      <c r="B161" s="8">
        <v>6000000</v>
      </c>
      <c r="C161" s="16">
        <v>890000</v>
      </c>
      <c r="D161" s="16">
        <v>1210000</v>
      </c>
      <c r="E161" s="16">
        <v>1330000</v>
      </c>
      <c r="F161" s="16">
        <v>1790000</v>
      </c>
      <c r="G161" s="17">
        <v>0.14833333333333334</v>
      </c>
      <c r="H161" s="17">
        <v>0.20166666666666666</v>
      </c>
      <c r="I161" s="17">
        <v>0.22166666666666668</v>
      </c>
      <c r="J161" s="17">
        <v>0.29833333333333334</v>
      </c>
      <c r="K161" s="18">
        <f t="shared" si="9"/>
        <v>2.4011299435028333E-3</v>
      </c>
      <c r="L161" s="18">
        <f t="shared" si="10"/>
        <v>1.6666666666666496E-3</v>
      </c>
      <c r="M161" s="18">
        <f t="shared" si="11"/>
        <v>1.7514124293785405E-3</v>
      </c>
      <c r="N161" s="18">
        <f t="shared" si="12"/>
        <v>2.5706214689265594E-3</v>
      </c>
      <c r="O161" s="14">
        <v>0.28999999999999998</v>
      </c>
      <c r="P161" s="14">
        <v>0.3</v>
      </c>
      <c r="Q161" s="14">
        <v>0.32500000000000001</v>
      </c>
      <c r="R161" s="14">
        <v>0.45</v>
      </c>
    </row>
    <row r="162" spans="1:18" x14ac:dyDescent="0.45">
      <c r="A162" s="15" t="s">
        <v>20</v>
      </c>
      <c r="B162" s="8">
        <v>6100000</v>
      </c>
      <c r="C162" s="16">
        <v>919000</v>
      </c>
      <c r="D162" s="16">
        <v>1245000</v>
      </c>
      <c r="E162" s="16">
        <v>1365000</v>
      </c>
      <c r="F162" s="16">
        <v>1835000</v>
      </c>
      <c r="G162" s="17">
        <v>0.15065573770491802</v>
      </c>
      <c r="H162" s="17">
        <v>0.20409836065573769</v>
      </c>
      <c r="I162" s="17">
        <v>0.22377049180327868</v>
      </c>
      <c r="J162" s="17">
        <v>0.30081967213114752</v>
      </c>
      <c r="K162" s="18">
        <f>G162-G161</f>
        <v>2.3224043715846798E-3</v>
      </c>
      <c r="L162" s="18">
        <f t="shared" si="10"/>
        <v>2.4316939890710321E-3</v>
      </c>
      <c r="M162" s="18">
        <f t="shared" si="11"/>
        <v>2.1038251366120031E-3</v>
      </c>
      <c r="N162" s="18">
        <f>J162-J161</f>
        <v>2.4863387978141804E-3</v>
      </c>
      <c r="O162" s="14">
        <v>0.28999999999999998</v>
      </c>
      <c r="P162" s="14">
        <v>0.3</v>
      </c>
      <c r="Q162" s="14">
        <v>0.32500000000000001</v>
      </c>
      <c r="R162" s="14">
        <v>0.45</v>
      </c>
    </row>
  </sheetData>
  <autoFilter ref="A1:N100" xr:uid="{60A6166C-6AEA-4D6D-ABC9-7B44F6E746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TAX, ETR, CHANGE ETR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Ameenah Qureshi</dc:creator>
  <cp:lastModifiedBy>Ameenah Qureshi</cp:lastModifiedBy>
  <dcterms:created xsi:type="dcterms:W3CDTF">2026-02-13T23:56:10Z</dcterms:created>
  <dcterms:modified xsi:type="dcterms:W3CDTF">2026-02-14T19:40:28Z</dcterms:modified>
</cp:coreProperties>
</file>
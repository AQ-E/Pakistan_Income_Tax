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akistan_Income_Tax_Slabs_app\PIT Reform Optimization Engine\"/>
    </mc:Choice>
  </mc:AlternateContent>
  <xr:revisionPtr revIDLastSave="0" documentId="13_ncr:1_{DD2C6B40-791A-4DB3-878F-4F355D5472DA}" xr6:coauthVersionLast="47" xr6:coauthVersionMax="47" xr10:uidLastSave="{00000000-0000-0000-0000-000000000000}"/>
  <bookViews>
    <workbookView xWindow="-98" yWindow="-98" windowWidth="19396" windowHeight="10276" xr2:uid="{B29C0B12-C57B-4AA2-A247-4F16A3BE5C81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Sheet1!$A$1:$V$185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5" i="1" l="1"/>
  <c r="V65" i="1"/>
  <c r="V113" i="1"/>
  <c r="U169" i="1"/>
  <c r="T169" i="1"/>
  <c r="V169" i="1" s="1"/>
  <c r="S169" i="1"/>
  <c r="U168" i="1"/>
  <c r="T168" i="1"/>
  <c r="S168" i="1"/>
  <c r="V168" i="1" s="1"/>
  <c r="U167" i="1"/>
  <c r="T167" i="1"/>
  <c r="S167" i="1"/>
  <c r="U166" i="1"/>
  <c r="T166" i="1"/>
  <c r="S166" i="1"/>
  <c r="U165" i="1"/>
  <c r="T165" i="1"/>
  <c r="S165" i="1"/>
  <c r="U164" i="1"/>
  <c r="T164" i="1"/>
  <c r="V164" i="1" s="1"/>
  <c r="S164" i="1"/>
  <c r="U163" i="1"/>
  <c r="T163" i="1"/>
  <c r="V163" i="1" s="1"/>
  <c r="S163" i="1"/>
  <c r="U162" i="1"/>
  <c r="T162" i="1"/>
  <c r="S162" i="1"/>
  <c r="V162" i="1" s="1"/>
  <c r="U161" i="1"/>
  <c r="T161" i="1"/>
  <c r="V161" i="1" s="1"/>
  <c r="S161" i="1"/>
  <c r="U160" i="1"/>
  <c r="T160" i="1"/>
  <c r="S160" i="1"/>
  <c r="V160" i="1" s="1"/>
  <c r="U159" i="1"/>
  <c r="T159" i="1"/>
  <c r="S159" i="1"/>
  <c r="U158" i="1"/>
  <c r="T158" i="1"/>
  <c r="S158" i="1"/>
  <c r="U157" i="1"/>
  <c r="T157" i="1"/>
  <c r="V157" i="1" s="1"/>
  <c r="S157" i="1"/>
  <c r="U156" i="1"/>
  <c r="T156" i="1"/>
  <c r="V156" i="1" s="1"/>
  <c r="S156" i="1"/>
  <c r="U155" i="1"/>
  <c r="T155" i="1"/>
  <c r="V155" i="1" s="1"/>
  <c r="S155" i="1"/>
  <c r="U154" i="1"/>
  <c r="T154" i="1"/>
  <c r="S154" i="1"/>
  <c r="V154" i="1" s="1"/>
  <c r="U153" i="1"/>
  <c r="T153" i="1"/>
  <c r="V153" i="1" s="1"/>
  <c r="S153" i="1"/>
  <c r="U152" i="1"/>
  <c r="T152" i="1"/>
  <c r="S152" i="1"/>
  <c r="V152" i="1" s="1"/>
  <c r="U151" i="1"/>
  <c r="T151" i="1"/>
  <c r="S151" i="1"/>
  <c r="U150" i="1"/>
  <c r="T150" i="1"/>
  <c r="S150" i="1"/>
  <c r="U149" i="1"/>
  <c r="T149" i="1"/>
  <c r="V149" i="1" s="1"/>
  <c r="S149" i="1"/>
  <c r="U148" i="1"/>
  <c r="T148" i="1"/>
  <c r="V148" i="1" s="1"/>
  <c r="S148" i="1"/>
  <c r="U147" i="1"/>
  <c r="T147" i="1"/>
  <c r="V147" i="1" s="1"/>
  <c r="S147" i="1"/>
  <c r="U146" i="1"/>
  <c r="T146" i="1"/>
  <c r="S146" i="1"/>
  <c r="V146" i="1" s="1"/>
  <c r="U145" i="1"/>
  <c r="T145" i="1"/>
  <c r="V145" i="1" s="1"/>
  <c r="S145" i="1"/>
  <c r="U144" i="1"/>
  <c r="T144" i="1"/>
  <c r="S144" i="1"/>
  <c r="V144" i="1" s="1"/>
  <c r="U143" i="1"/>
  <c r="T143" i="1"/>
  <c r="S143" i="1"/>
  <c r="U142" i="1"/>
  <c r="T142" i="1"/>
  <c r="S142" i="1"/>
  <c r="U141" i="1"/>
  <c r="T141" i="1"/>
  <c r="V141" i="1" s="1"/>
  <c r="S141" i="1"/>
  <c r="U140" i="1"/>
  <c r="T140" i="1"/>
  <c r="V140" i="1" s="1"/>
  <c r="S140" i="1"/>
  <c r="U139" i="1"/>
  <c r="T139" i="1"/>
  <c r="V139" i="1" s="1"/>
  <c r="S139" i="1"/>
  <c r="U138" i="1"/>
  <c r="T138" i="1"/>
  <c r="S138" i="1"/>
  <c r="V138" i="1" s="1"/>
  <c r="U137" i="1"/>
  <c r="T137" i="1"/>
  <c r="V137" i="1" s="1"/>
  <c r="S137" i="1"/>
  <c r="U136" i="1"/>
  <c r="T136" i="1"/>
  <c r="S136" i="1"/>
  <c r="V136" i="1" s="1"/>
  <c r="U135" i="1"/>
  <c r="T135" i="1"/>
  <c r="S135" i="1"/>
  <c r="U134" i="1"/>
  <c r="T134" i="1"/>
  <c r="S134" i="1"/>
  <c r="U133" i="1"/>
  <c r="T133" i="1"/>
  <c r="V133" i="1" s="1"/>
  <c r="S133" i="1"/>
  <c r="U132" i="1"/>
  <c r="T132" i="1"/>
  <c r="V132" i="1" s="1"/>
  <c r="S132" i="1"/>
  <c r="U131" i="1"/>
  <c r="T131" i="1"/>
  <c r="V131" i="1" s="1"/>
  <c r="S131" i="1"/>
  <c r="U130" i="1"/>
  <c r="T130" i="1"/>
  <c r="S130" i="1"/>
  <c r="V130" i="1" s="1"/>
  <c r="U129" i="1"/>
  <c r="T129" i="1"/>
  <c r="V129" i="1" s="1"/>
  <c r="S129" i="1"/>
  <c r="U128" i="1"/>
  <c r="T128" i="1"/>
  <c r="S128" i="1"/>
  <c r="V128" i="1" s="1"/>
  <c r="U127" i="1"/>
  <c r="T127" i="1"/>
  <c r="S127" i="1"/>
  <c r="U126" i="1"/>
  <c r="T126" i="1"/>
  <c r="S126" i="1"/>
  <c r="U125" i="1"/>
  <c r="T125" i="1"/>
  <c r="V125" i="1" s="1"/>
  <c r="S125" i="1"/>
  <c r="U124" i="1"/>
  <c r="T124" i="1"/>
  <c r="V124" i="1" s="1"/>
  <c r="S124" i="1"/>
  <c r="U123" i="1"/>
  <c r="T123" i="1"/>
  <c r="V123" i="1" s="1"/>
  <c r="S123" i="1"/>
  <c r="U122" i="1"/>
  <c r="T122" i="1"/>
  <c r="S122" i="1"/>
  <c r="V122" i="1" s="1"/>
  <c r="U121" i="1"/>
  <c r="T121" i="1"/>
  <c r="V121" i="1" s="1"/>
  <c r="S121" i="1"/>
  <c r="U120" i="1"/>
  <c r="T120" i="1"/>
  <c r="S120" i="1"/>
  <c r="V120" i="1" s="1"/>
  <c r="U119" i="1"/>
  <c r="T119" i="1"/>
  <c r="S119" i="1"/>
  <c r="U118" i="1"/>
  <c r="T118" i="1"/>
  <c r="S118" i="1"/>
  <c r="U117" i="1"/>
  <c r="T117" i="1"/>
  <c r="V117" i="1" s="1"/>
  <c r="S117" i="1"/>
  <c r="U116" i="1"/>
  <c r="T116" i="1"/>
  <c r="V116" i="1" s="1"/>
  <c r="S116" i="1"/>
  <c r="U115" i="1"/>
  <c r="T115" i="1"/>
  <c r="V115" i="1" s="1"/>
  <c r="S115" i="1"/>
  <c r="U114" i="1"/>
  <c r="T114" i="1"/>
  <c r="S114" i="1"/>
  <c r="V114" i="1" s="1"/>
  <c r="U113" i="1"/>
  <c r="T113" i="1"/>
  <c r="S113" i="1"/>
  <c r="U112" i="1"/>
  <c r="T112" i="1"/>
  <c r="S112" i="1"/>
  <c r="V112" i="1" s="1"/>
  <c r="U111" i="1"/>
  <c r="T111" i="1"/>
  <c r="S111" i="1"/>
  <c r="U110" i="1"/>
  <c r="T110" i="1"/>
  <c r="S110" i="1"/>
  <c r="U109" i="1"/>
  <c r="T109" i="1"/>
  <c r="V109" i="1" s="1"/>
  <c r="S109" i="1"/>
  <c r="U108" i="1"/>
  <c r="T108" i="1"/>
  <c r="V108" i="1" s="1"/>
  <c r="S108" i="1"/>
  <c r="U107" i="1"/>
  <c r="T107" i="1"/>
  <c r="V107" i="1" s="1"/>
  <c r="S107" i="1"/>
  <c r="U106" i="1"/>
  <c r="T106" i="1"/>
  <c r="S106" i="1"/>
  <c r="V106" i="1" s="1"/>
  <c r="U105" i="1"/>
  <c r="T105" i="1"/>
  <c r="V105" i="1" s="1"/>
  <c r="S105" i="1"/>
  <c r="U104" i="1"/>
  <c r="T104" i="1"/>
  <c r="S104" i="1"/>
  <c r="V104" i="1" s="1"/>
  <c r="U103" i="1"/>
  <c r="T103" i="1"/>
  <c r="S103" i="1"/>
  <c r="U102" i="1"/>
  <c r="T102" i="1"/>
  <c r="S102" i="1"/>
  <c r="U101" i="1"/>
  <c r="T101" i="1"/>
  <c r="V101" i="1" s="1"/>
  <c r="S101" i="1"/>
  <c r="U100" i="1"/>
  <c r="T100" i="1"/>
  <c r="V100" i="1" s="1"/>
  <c r="S100" i="1"/>
  <c r="U99" i="1"/>
  <c r="T99" i="1"/>
  <c r="V99" i="1" s="1"/>
  <c r="S99" i="1"/>
  <c r="U98" i="1"/>
  <c r="T98" i="1"/>
  <c r="S98" i="1"/>
  <c r="V98" i="1" s="1"/>
  <c r="U97" i="1"/>
  <c r="T97" i="1"/>
  <c r="V97" i="1" s="1"/>
  <c r="S97" i="1"/>
  <c r="U96" i="1"/>
  <c r="T96" i="1"/>
  <c r="S96" i="1"/>
  <c r="V96" i="1" s="1"/>
  <c r="U95" i="1"/>
  <c r="T95" i="1"/>
  <c r="S95" i="1"/>
  <c r="U94" i="1"/>
  <c r="T94" i="1"/>
  <c r="S94" i="1"/>
  <c r="U93" i="1"/>
  <c r="T93" i="1"/>
  <c r="V93" i="1" s="1"/>
  <c r="S93" i="1"/>
  <c r="U92" i="1"/>
  <c r="T92" i="1"/>
  <c r="V92" i="1" s="1"/>
  <c r="S92" i="1"/>
  <c r="U91" i="1"/>
  <c r="T91" i="1"/>
  <c r="V91" i="1" s="1"/>
  <c r="S91" i="1"/>
  <c r="U90" i="1"/>
  <c r="T90" i="1"/>
  <c r="S90" i="1"/>
  <c r="V90" i="1" s="1"/>
  <c r="U89" i="1"/>
  <c r="T89" i="1"/>
  <c r="V89" i="1" s="1"/>
  <c r="S89" i="1"/>
  <c r="U88" i="1"/>
  <c r="T88" i="1"/>
  <c r="S88" i="1"/>
  <c r="U87" i="1"/>
  <c r="T87" i="1"/>
  <c r="S87" i="1"/>
  <c r="U86" i="1"/>
  <c r="T86" i="1"/>
  <c r="S86" i="1"/>
  <c r="U85" i="1"/>
  <c r="T85" i="1"/>
  <c r="V85" i="1" s="1"/>
  <c r="S85" i="1"/>
  <c r="U84" i="1"/>
  <c r="T84" i="1"/>
  <c r="V84" i="1" s="1"/>
  <c r="S84" i="1"/>
  <c r="U83" i="1"/>
  <c r="T83" i="1"/>
  <c r="V83" i="1" s="1"/>
  <c r="S83" i="1"/>
  <c r="U82" i="1"/>
  <c r="T82" i="1"/>
  <c r="S82" i="1"/>
  <c r="V82" i="1" s="1"/>
  <c r="U81" i="1"/>
  <c r="T81" i="1"/>
  <c r="V81" i="1" s="1"/>
  <c r="S81" i="1"/>
  <c r="U80" i="1"/>
  <c r="T80" i="1"/>
  <c r="S80" i="1"/>
  <c r="U79" i="1"/>
  <c r="T79" i="1"/>
  <c r="S79" i="1"/>
  <c r="U78" i="1"/>
  <c r="T78" i="1"/>
  <c r="S78" i="1"/>
  <c r="U77" i="1"/>
  <c r="T77" i="1"/>
  <c r="V77" i="1" s="1"/>
  <c r="S77" i="1"/>
  <c r="U76" i="1"/>
  <c r="T76" i="1"/>
  <c r="V76" i="1" s="1"/>
  <c r="S76" i="1"/>
  <c r="U75" i="1"/>
  <c r="T75" i="1"/>
  <c r="V75" i="1" s="1"/>
  <c r="S75" i="1"/>
  <c r="U74" i="1"/>
  <c r="T74" i="1"/>
  <c r="S74" i="1"/>
  <c r="V74" i="1" s="1"/>
  <c r="U73" i="1"/>
  <c r="T73" i="1"/>
  <c r="V73" i="1" s="1"/>
  <c r="S73" i="1"/>
  <c r="U72" i="1"/>
  <c r="T72" i="1"/>
  <c r="S72" i="1"/>
  <c r="U71" i="1"/>
  <c r="T71" i="1"/>
  <c r="S71" i="1"/>
  <c r="U70" i="1"/>
  <c r="T70" i="1"/>
  <c r="S70" i="1"/>
  <c r="U69" i="1"/>
  <c r="T69" i="1"/>
  <c r="V69" i="1" s="1"/>
  <c r="S69" i="1"/>
  <c r="U68" i="1"/>
  <c r="T68" i="1"/>
  <c r="V68" i="1" s="1"/>
  <c r="S68" i="1"/>
  <c r="U67" i="1"/>
  <c r="T67" i="1"/>
  <c r="V67" i="1" s="1"/>
  <c r="S67" i="1"/>
  <c r="U66" i="1"/>
  <c r="T66" i="1"/>
  <c r="S66" i="1"/>
  <c r="V66" i="1" s="1"/>
  <c r="U65" i="1"/>
  <c r="T65" i="1"/>
  <c r="S65" i="1"/>
  <c r="V71" i="1" l="1"/>
  <c r="V79" i="1"/>
  <c r="V87" i="1"/>
  <c r="V95" i="1"/>
  <c r="V103" i="1"/>
  <c r="V111" i="1"/>
  <c r="V119" i="1"/>
  <c r="V127" i="1"/>
  <c r="V135" i="1"/>
  <c r="V143" i="1"/>
  <c r="V151" i="1"/>
  <c r="V159" i="1"/>
  <c r="V167" i="1"/>
  <c r="V72" i="1"/>
  <c r="V80" i="1"/>
  <c r="V88" i="1"/>
  <c r="V70" i="1"/>
  <c r="V78" i="1"/>
  <c r="V86" i="1"/>
  <c r="V94" i="1"/>
  <c r="V102" i="1"/>
  <c r="V110" i="1"/>
  <c r="V118" i="1"/>
  <c r="V126" i="1"/>
  <c r="V134" i="1"/>
  <c r="V142" i="1"/>
  <c r="V150" i="1"/>
  <c r="V158" i="1"/>
  <c r="V166" i="1"/>
</calcChain>
</file>

<file path=xl/sharedStrings.xml><?xml version="1.0" encoding="utf-8"?>
<sst xmlns="http://schemas.openxmlformats.org/spreadsheetml/2006/main" count="206" uniqueCount="24">
  <si>
    <t>Type_Tax</t>
  </si>
  <si>
    <t>Taxable Income</t>
  </si>
  <si>
    <t>Non_Salaried</t>
  </si>
  <si>
    <t>Salaried</t>
  </si>
  <si>
    <t>TT_FY23</t>
  </si>
  <si>
    <t>TT_FY24</t>
  </si>
  <si>
    <t>TT_FY25</t>
  </si>
  <si>
    <t>TT_FY26</t>
  </si>
  <si>
    <t>MRT_23</t>
  </si>
  <si>
    <t>MRT_24</t>
  </si>
  <si>
    <t>MRT_25</t>
  </si>
  <si>
    <t>MRT_26</t>
  </si>
  <si>
    <t>ETR_23</t>
  </si>
  <si>
    <t>ETR_24</t>
  </si>
  <si>
    <t>ETR_25</t>
  </si>
  <si>
    <t>ETR_26</t>
  </si>
  <si>
    <t>CETR_2023</t>
  </si>
  <si>
    <t>CETR_2024</t>
  </si>
  <si>
    <t>CETR_2025</t>
  </si>
  <si>
    <t>CETR_2026</t>
  </si>
  <si>
    <t>Number_of_Persons</t>
  </si>
  <si>
    <t>Taxable_salary</t>
  </si>
  <si>
    <t>Tax_Amount(Rs)</t>
  </si>
  <si>
    <t>Avg_Tax_2025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</si>
</sst>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b/>
      <sz val="11"/>
      <color rgb="FF0D0D0D"/>
      <name val="Candara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8E5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/>
    </xf>
    <xf numFmtId="10" fontId="3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8E5DC"/>
      <color rgb="FFDDF7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Salary%20WHT%20Naveed%20(1).xlsx" TargetMode="External"/><Relationship Id="rId1" Type="http://schemas.openxmlformats.org/officeDocument/2006/relationships/externalLinkPath" Target="/Users/LENOVO/Downloads/Salary%20WHT%20Navee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HT Changed Rate (2)"/>
      <sheetName val="Sheet1"/>
    </sheetNames>
    <sheetDataSet>
      <sheetData sheetId="0"/>
      <sheetData sheetId="1">
        <row r="3">
          <cell r="C3">
            <v>100000</v>
          </cell>
          <cell r="D3">
            <v>17896</v>
          </cell>
          <cell r="E3">
            <v>281841091</v>
          </cell>
          <cell r="F3">
            <v>5015540160</v>
          </cell>
        </row>
        <row r="4">
          <cell r="C4">
            <v>200000</v>
          </cell>
          <cell r="D4">
            <v>2668</v>
          </cell>
          <cell r="E4">
            <v>397207354</v>
          </cell>
          <cell r="F4">
            <v>195054688</v>
          </cell>
        </row>
        <row r="5">
          <cell r="C5">
            <v>300000</v>
          </cell>
          <cell r="D5">
            <v>2345</v>
          </cell>
          <cell r="E5">
            <v>587424870</v>
          </cell>
          <cell r="F5">
            <v>178195441</v>
          </cell>
        </row>
        <row r="6">
          <cell r="C6">
            <v>400000</v>
          </cell>
          <cell r="D6">
            <v>2269</v>
          </cell>
          <cell r="E6">
            <v>794974732</v>
          </cell>
          <cell r="F6">
            <v>152951905</v>
          </cell>
        </row>
        <row r="7">
          <cell r="C7">
            <v>500000</v>
          </cell>
          <cell r="D7">
            <v>3316</v>
          </cell>
          <cell r="E7">
            <v>1506998837</v>
          </cell>
          <cell r="F7">
            <v>150503796</v>
          </cell>
        </row>
        <row r="8">
          <cell r="C8">
            <v>600000</v>
          </cell>
          <cell r="D8">
            <v>7912</v>
          </cell>
          <cell r="E8">
            <v>4451371142</v>
          </cell>
          <cell r="F8">
            <v>160785166</v>
          </cell>
        </row>
        <row r="11">
          <cell r="C11">
            <v>700000</v>
          </cell>
          <cell r="D11">
            <v>46052</v>
          </cell>
          <cell r="E11">
            <v>30240320618</v>
          </cell>
          <cell r="F11">
            <v>296231700</v>
          </cell>
        </row>
        <row r="12">
          <cell r="C12">
            <v>800000</v>
          </cell>
          <cell r="D12">
            <v>72478</v>
          </cell>
          <cell r="E12">
            <v>54414802123</v>
          </cell>
          <cell r="F12">
            <v>662357812</v>
          </cell>
        </row>
        <row r="13">
          <cell r="C13">
            <v>900000</v>
          </cell>
          <cell r="D13">
            <v>83774</v>
          </cell>
          <cell r="E13">
            <v>71385323930</v>
          </cell>
          <cell r="F13">
            <v>1115343086</v>
          </cell>
        </row>
        <row r="14">
          <cell r="C14">
            <v>1000000</v>
          </cell>
          <cell r="D14">
            <v>80190</v>
          </cell>
          <cell r="E14">
            <v>76156863403</v>
          </cell>
          <cell r="F14">
            <v>1456154858</v>
          </cell>
        </row>
        <row r="15">
          <cell r="C15">
            <v>1100000</v>
          </cell>
          <cell r="D15">
            <v>74431</v>
          </cell>
          <cell r="E15">
            <v>78145078436</v>
          </cell>
          <cell r="F15">
            <v>1691714346</v>
          </cell>
        </row>
        <row r="16">
          <cell r="C16">
            <v>1200000</v>
          </cell>
          <cell r="D16">
            <v>74281</v>
          </cell>
          <cell r="E16">
            <v>85801837443</v>
          </cell>
          <cell r="F16">
            <v>2119512820</v>
          </cell>
        </row>
        <row r="19">
          <cell r="C19">
            <v>1300000</v>
          </cell>
          <cell r="D19">
            <v>58928</v>
          </cell>
          <cell r="E19">
            <v>73610996001</v>
          </cell>
          <cell r="F19">
            <v>2150024917</v>
          </cell>
        </row>
        <row r="20">
          <cell r="C20">
            <v>1400000</v>
          </cell>
          <cell r="D20">
            <v>53720</v>
          </cell>
          <cell r="E20">
            <v>72467367749</v>
          </cell>
          <cell r="F20">
            <v>2561019875</v>
          </cell>
        </row>
        <row r="21">
          <cell r="C21">
            <v>1500000</v>
          </cell>
          <cell r="D21">
            <v>51660</v>
          </cell>
          <cell r="E21">
            <v>74946417814</v>
          </cell>
          <cell r="F21">
            <v>3143638227</v>
          </cell>
        </row>
        <row r="22">
          <cell r="C22">
            <v>1600000</v>
          </cell>
          <cell r="D22">
            <v>43207</v>
          </cell>
          <cell r="E22">
            <v>66930468930</v>
          </cell>
          <cell r="F22">
            <v>3141442898</v>
          </cell>
        </row>
        <row r="23">
          <cell r="C23">
            <v>1700000</v>
          </cell>
          <cell r="D23">
            <v>37180</v>
          </cell>
          <cell r="E23">
            <v>61330508173</v>
          </cell>
          <cell r="F23">
            <v>3202734229</v>
          </cell>
        </row>
        <row r="24">
          <cell r="C24">
            <v>1800000</v>
          </cell>
          <cell r="D24">
            <v>36470</v>
          </cell>
          <cell r="E24">
            <v>64005411916</v>
          </cell>
          <cell r="F24">
            <v>3662609603</v>
          </cell>
        </row>
        <row r="25">
          <cell r="C25">
            <v>1900000</v>
          </cell>
          <cell r="D25">
            <v>28923</v>
          </cell>
          <cell r="E25">
            <v>53472380659</v>
          </cell>
          <cell r="F25">
            <v>3269005678</v>
          </cell>
        </row>
        <row r="26">
          <cell r="C26">
            <v>2000000</v>
          </cell>
          <cell r="D26">
            <v>28418</v>
          </cell>
          <cell r="E26">
            <v>55388885491</v>
          </cell>
          <cell r="F26">
            <v>3712382277</v>
          </cell>
        </row>
        <row r="27">
          <cell r="C27">
            <v>2100000</v>
          </cell>
          <cell r="D27">
            <v>25442</v>
          </cell>
          <cell r="E27">
            <v>52189315033</v>
          </cell>
          <cell r="F27">
            <v>3596842091</v>
          </cell>
        </row>
        <row r="28">
          <cell r="C28">
            <v>2200000</v>
          </cell>
          <cell r="D28">
            <v>23397</v>
          </cell>
          <cell r="E28">
            <v>50310555719</v>
          </cell>
          <cell r="F28">
            <v>3629109629</v>
          </cell>
        </row>
        <row r="29">
          <cell r="C29">
            <v>2300000</v>
          </cell>
          <cell r="D29">
            <v>21378</v>
          </cell>
          <cell r="E29">
            <v>48097828564</v>
          </cell>
          <cell r="F29">
            <v>3700531733</v>
          </cell>
        </row>
        <row r="30">
          <cell r="C30">
            <v>2400000</v>
          </cell>
          <cell r="D30">
            <v>23410</v>
          </cell>
          <cell r="E30">
            <v>55203762999</v>
          </cell>
          <cell r="F30">
            <v>4442818558</v>
          </cell>
        </row>
        <row r="33">
          <cell r="C33">
            <v>2500000</v>
          </cell>
          <cell r="D33">
            <v>17904</v>
          </cell>
          <cell r="E33">
            <v>43859659626</v>
          </cell>
          <cell r="F33">
            <v>3739759067</v>
          </cell>
        </row>
        <row r="34">
          <cell r="C34">
            <v>2600000</v>
          </cell>
          <cell r="D34">
            <v>17368</v>
          </cell>
          <cell r="E34">
            <v>44275658802</v>
          </cell>
          <cell r="F34">
            <v>3978407548</v>
          </cell>
        </row>
        <row r="35">
          <cell r="C35">
            <v>2700000</v>
          </cell>
          <cell r="D35">
            <v>16235</v>
          </cell>
          <cell r="E35">
            <v>43052548552</v>
          </cell>
          <cell r="F35">
            <v>4046394051</v>
          </cell>
        </row>
        <row r="36">
          <cell r="C36">
            <v>2800000</v>
          </cell>
          <cell r="D36">
            <v>14784</v>
          </cell>
          <cell r="E36">
            <v>40648879607</v>
          </cell>
          <cell r="F36">
            <v>3979460724</v>
          </cell>
        </row>
        <row r="37">
          <cell r="C37">
            <v>2900000</v>
          </cell>
          <cell r="D37">
            <v>13961</v>
          </cell>
          <cell r="E37">
            <v>39792174452</v>
          </cell>
          <cell r="F37">
            <v>4071639826</v>
          </cell>
        </row>
        <row r="38">
          <cell r="C38">
            <v>3000000</v>
          </cell>
          <cell r="D38">
            <v>14696</v>
          </cell>
          <cell r="E38">
            <v>43442281739</v>
          </cell>
          <cell r="F38">
            <v>4580496212</v>
          </cell>
        </row>
        <row r="39">
          <cell r="C39">
            <v>3100000</v>
          </cell>
          <cell r="D39">
            <v>11423</v>
          </cell>
          <cell r="E39">
            <v>34837268087</v>
          </cell>
          <cell r="F39">
            <v>3835969634</v>
          </cell>
        </row>
        <row r="40">
          <cell r="C40">
            <v>3200000</v>
          </cell>
          <cell r="D40">
            <v>11341</v>
          </cell>
          <cell r="E40">
            <v>35718768319</v>
          </cell>
          <cell r="F40">
            <v>4033237068</v>
          </cell>
        </row>
        <row r="41">
          <cell r="C41">
            <v>3300000</v>
          </cell>
          <cell r="D41">
            <v>10869</v>
          </cell>
          <cell r="E41">
            <v>35337597643</v>
          </cell>
          <cell r="F41">
            <v>4136464125</v>
          </cell>
        </row>
        <row r="42">
          <cell r="C42">
            <v>3400000</v>
          </cell>
          <cell r="D42">
            <v>9816</v>
          </cell>
          <cell r="E42">
            <v>32877408521</v>
          </cell>
          <cell r="F42">
            <v>3932687399</v>
          </cell>
        </row>
        <row r="43">
          <cell r="C43">
            <v>3500000</v>
          </cell>
          <cell r="D43">
            <v>9172</v>
          </cell>
          <cell r="E43">
            <v>31640694201</v>
          </cell>
          <cell r="F43">
            <v>3927521898</v>
          </cell>
        </row>
        <row r="44">
          <cell r="C44">
            <v>3600000</v>
          </cell>
          <cell r="D44">
            <v>10756</v>
          </cell>
          <cell r="E44">
            <v>38283127650</v>
          </cell>
          <cell r="F44">
            <v>4770492128</v>
          </cell>
        </row>
        <row r="47">
          <cell r="C47">
            <v>3700000</v>
          </cell>
          <cell r="D47">
            <v>7832</v>
          </cell>
          <cell r="E47">
            <v>28590561162</v>
          </cell>
          <cell r="F47">
            <v>3767133448</v>
          </cell>
        </row>
        <row r="48">
          <cell r="C48">
            <v>3800000</v>
          </cell>
          <cell r="D48">
            <v>7683</v>
          </cell>
          <cell r="E48">
            <v>28810430630</v>
          </cell>
          <cell r="F48">
            <v>3871137065</v>
          </cell>
        </row>
        <row r="49">
          <cell r="C49">
            <v>3900000</v>
          </cell>
          <cell r="D49">
            <v>7276</v>
          </cell>
          <cell r="E49">
            <v>28016115390</v>
          </cell>
          <cell r="F49">
            <v>3874945565</v>
          </cell>
        </row>
        <row r="50">
          <cell r="C50">
            <v>4000000</v>
          </cell>
          <cell r="D50">
            <v>6741</v>
          </cell>
          <cell r="E50">
            <v>26639082831</v>
          </cell>
          <cell r="F50">
            <v>3712888553</v>
          </cell>
        </row>
        <row r="51">
          <cell r="C51">
            <v>4100000</v>
          </cell>
          <cell r="D51">
            <v>6341</v>
          </cell>
          <cell r="E51">
            <v>25683360113</v>
          </cell>
          <cell r="F51">
            <v>3723118450</v>
          </cell>
        </row>
        <row r="52">
          <cell r="C52">
            <v>4200000</v>
          </cell>
          <cell r="D52">
            <v>6686</v>
          </cell>
          <cell r="E52">
            <v>27785873423</v>
          </cell>
          <cell r="F52">
            <v>4076095872</v>
          </cell>
        </row>
        <row r="53">
          <cell r="C53">
            <v>4300000</v>
          </cell>
          <cell r="D53">
            <v>5589</v>
          </cell>
          <cell r="E53">
            <v>23759069493</v>
          </cell>
          <cell r="F53">
            <v>3626148259</v>
          </cell>
        </row>
        <row r="54">
          <cell r="C54">
            <v>4400000</v>
          </cell>
          <cell r="D54">
            <v>5489</v>
          </cell>
          <cell r="E54">
            <v>23868164076</v>
          </cell>
          <cell r="F54">
            <v>3572932297</v>
          </cell>
        </row>
        <row r="55">
          <cell r="C55">
            <v>4500000</v>
          </cell>
          <cell r="D55">
            <v>5596</v>
          </cell>
          <cell r="E55">
            <v>24946541596</v>
          </cell>
          <cell r="F55">
            <v>3711522338</v>
          </cell>
        </row>
        <row r="56">
          <cell r="C56">
            <v>4600000</v>
          </cell>
          <cell r="D56">
            <v>4697</v>
          </cell>
          <cell r="E56">
            <v>21371900280</v>
          </cell>
          <cell r="F56">
            <v>12233045249</v>
          </cell>
        </row>
        <row r="57">
          <cell r="C57">
            <v>4700000</v>
          </cell>
          <cell r="D57">
            <v>4478</v>
          </cell>
          <cell r="E57">
            <v>20816874347</v>
          </cell>
          <cell r="F57">
            <v>3353196786</v>
          </cell>
        </row>
        <row r="58">
          <cell r="C58">
            <v>4800000</v>
          </cell>
          <cell r="D58">
            <v>5007</v>
          </cell>
          <cell r="E58">
            <v>23826010086</v>
          </cell>
          <cell r="F58">
            <v>3769860039</v>
          </cell>
        </row>
        <row r="61">
          <cell r="C61">
            <v>4900000</v>
          </cell>
          <cell r="D61">
            <v>4005</v>
          </cell>
          <cell r="E61">
            <v>19424995689</v>
          </cell>
          <cell r="F61">
            <v>3254216839</v>
          </cell>
        </row>
        <row r="62">
          <cell r="C62">
            <v>5000000</v>
          </cell>
          <cell r="D62">
            <v>3765</v>
          </cell>
          <cell r="E62">
            <v>18634135020</v>
          </cell>
          <cell r="F62">
            <v>3120278540</v>
          </cell>
        </row>
        <row r="63">
          <cell r="C63">
            <v>5100000</v>
          </cell>
          <cell r="D63">
            <v>3829</v>
          </cell>
          <cell r="E63">
            <v>19339850392</v>
          </cell>
          <cell r="F63">
            <v>3265164428</v>
          </cell>
        </row>
        <row r="64">
          <cell r="C64">
            <v>5200000</v>
          </cell>
          <cell r="D64">
            <v>3351</v>
          </cell>
          <cell r="E64">
            <v>17258592276</v>
          </cell>
          <cell r="F64">
            <v>3007943195</v>
          </cell>
        </row>
        <row r="65">
          <cell r="C65">
            <v>5300000</v>
          </cell>
          <cell r="D65">
            <v>3232</v>
          </cell>
          <cell r="E65">
            <v>16966518792</v>
          </cell>
          <cell r="F65">
            <v>2961551984</v>
          </cell>
        </row>
        <row r="66">
          <cell r="C66">
            <v>5400000</v>
          </cell>
          <cell r="D66">
            <v>3945</v>
          </cell>
          <cell r="E66">
            <v>21141073395</v>
          </cell>
          <cell r="F66">
            <v>3501012446</v>
          </cell>
        </row>
        <row r="67">
          <cell r="C67">
            <v>5500000</v>
          </cell>
          <cell r="D67">
            <v>2905</v>
          </cell>
          <cell r="E67">
            <v>15833484462</v>
          </cell>
          <cell r="F67">
            <v>2890308851</v>
          </cell>
        </row>
        <row r="68">
          <cell r="C68">
            <v>5600000</v>
          </cell>
          <cell r="D68">
            <v>2876</v>
          </cell>
          <cell r="E68">
            <v>15961559397</v>
          </cell>
          <cell r="F68">
            <v>2892405434</v>
          </cell>
        </row>
        <row r="69">
          <cell r="C69">
            <v>5700000</v>
          </cell>
          <cell r="D69">
            <v>2617</v>
          </cell>
          <cell r="E69">
            <v>14785629252</v>
          </cell>
          <cell r="F69">
            <v>2756043761</v>
          </cell>
        </row>
        <row r="70">
          <cell r="C70">
            <v>5800000</v>
          </cell>
          <cell r="D70">
            <v>2547</v>
          </cell>
          <cell r="E70">
            <v>14644064445</v>
          </cell>
          <cell r="F70">
            <v>2644782490</v>
          </cell>
        </row>
        <row r="71">
          <cell r="C71">
            <v>5900000</v>
          </cell>
          <cell r="D71">
            <v>2322</v>
          </cell>
          <cell r="E71">
            <v>13583820713</v>
          </cell>
          <cell r="F71">
            <v>2569030859</v>
          </cell>
        </row>
        <row r="72">
          <cell r="C72">
            <v>6000000</v>
          </cell>
          <cell r="D72">
            <v>3131</v>
          </cell>
          <cell r="E72">
            <v>18667840773</v>
          </cell>
          <cell r="F72">
            <v>3532329380</v>
          </cell>
        </row>
        <row r="73">
          <cell r="F73">
            <v>73202336719</v>
          </cell>
        </row>
        <row r="76">
          <cell r="C76">
            <v>6100000</v>
          </cell>
          <cell r="D76">
            <v>2119</v>
          </cell>
          <cell r="E76">
            <v>12819159450</v>
          </cell>
          <cell r="F76">
            <v>2464467672</v>
          </cell>
        </row>
        <row r="77">
          <cell r="C77">
            <v>6200000</v>
          </cell>
          <cell r="D77">
            <v>2109</v>
          </cell>
          <cell r="E77">
            <v>12971683744</v>
          </cell>
          <cell r="F77">
            <v>2492178277</v>
          </cell>
        </row>
        <row r="78">
          <cell r="C78">
            <v>6300000</v>
          </cell>
          <cell r="D78">
            <v>2098</v>
          </cell>
          <cell r="E78">
            <v>13118014428</v>
          </cell>
          <cell r="F78">
            <v>2495330509</v>
          </cell>
        </row>
        <row r="79">
          <cell r="C79">
            <v>6400000</v>
          </cell>
          <cell r="D79">
            <v>1889</v>
          </cell>
          <cell r="E79">
            <v>11998742319</v>
          </cell>
          <cell r="F79">
            <v>2343503949</v>
          </cell>
        </row>
        <row r="80">
          <cell r="C80">
            <v>6500000</v>
          </cell>
          <cell r="D80">
            <v>1929</v>
          </cell>
          <cell r="E80">
            <v>12445411337</v>
          </cell>
          <cell r="F80">
            <v>2396517891</v>
          </cell>
        </row>
        <row r="81">
          <cell r="C81">
            <v>6600000</v>
          </cell>
          <cell r="D81">
            <v>2239</v>
          </cell>
          <cell r="E81">
            <v>14681820096</v>
          </cell>
          <cell r="F81">
            <v>2760382489</v>
          </cell>
        </row>
        <row r="82">
          <cell r="C82">
            <v>6700000</v>
          </cell>
          <cell r="D82">
            <v>1730</v>
          </cell>
          <cell r="E82">
            <v>11505744644</v>
          </cell>
          <cell r="F82">
            <v>2272143691</v>
          </cell>
        </row>
        <row r="83">
          <cell r="C83">
            <v>6800000</v>
          </cell>
          <cell r="D83">
            <v>1733</v>
          </cell>
          <cell r="E83">
            <v>11696028877</v>
          </cell>
          <cell r="F83">
            <v>2343657474</v>
          </cell>
        </row>
        <row r="84">
          <cell r="C84">
            <v>6900000</v>
          </cell>
          <cell r="D84">
            <v>1697</v>
          </cell>
          <cell r="E84">
            <v>11626104937</v>
          </cell>
          <cell r="F84">
            <v>2347417046</v>
          </cell>
        </row>
        <row r="85">
          <cell r="C85">
            <v>7000000</v>
          </cell>
          <cell r="D85">
            <v>1599</v>
          </cell>
          <cell r="E85">
            <v>11114039101</v>
          </cell>
          <cell r="F85">
            <v>2285251820</v>
          </cell>
        </row>
        <row r="86">
          <cell r="C86">
            <v>7100000</v>
          </cell>
          <cell r="D86">
            <v>1417</v>
          </cell>
          <cell r="E86">
            <v>9990989536</v>
          </cell>
          <cell r="F86">
            <v>2101880459</v>
          </cell>
        </row>
        <row r="87">
          <cell r="C87">
            <v>7200000</v>
          </cell>
          <cell r="D87">
            <v>2037</v>
          </cell>
          <cell r="E87">
            <v>14591707700</v>
          </cell>
          <cell r="F87">
            <v>2714965028</v>
          </cell>
        </row>
        <row r="88">
          <cell r="C88">
            <v>7300000</v>
          </cell>
          <cell r="D88">
            <v>1379</v>
          </cell>
          <cell r="E88">
            <v>9996704908</v>
          </cell>
          <cell r="F88">
            <v>2079901534</v>
          </cell>
        </row>
        <row r="89">
          <cell r="C89">
            <v>7400000</v>
          </cell>
          <cell r="D89">
            <v>1400</v>
          </cell>
          <cell r="E89">
            <v>10288400640</v>
          </cell>
          <cell r="F89">
            <v>2137492045</v>
          </cell>
        </row>
        <row r="90">
          <cell r="C90">
            <v>7500000</v>
          </cell>
          <cell r="D90">
            <v>1313</v>
          </cell>
          <cell r="E90">
            <v>9782569811</v>
          </cell>
          <cell r="F90">
            <v>2030680915</v>
          </cell>
        </row>
        <row r="91">
          <cell r="C91">
            <v>7600000</v>
          </cell>
          <cell r="D91">
            <v>1294</v>
          </cell>
          <cell r="E91">
            <v>9769006180</v>
          </cell>
          <cell r="F91">
            <v>2023415509</v>
          </cell>
        </row>
        <row r="92">
          <cell r="C92">
            <v>7700000</v>
          </cell>
          <cell r="D92">
            <v>1270</v>
          </cell>
          <cell r="E92">
            <v>9715728374</v>
          </cell>
          <cell r="F92">
            <v>2010939277</v>
          </cell>
        </row>
        <row r="93">
          <cell r="C93">
            <v>7800000</v>
          </cell>
          <cell r="D93">
            <v>1293</v>
          </cell>
          <cell r="E93">
            <v>10024083189</v>
          </cell>
          <cell r="F93">
            <v>2117642115</v>
          </cell>
        </row>
        <row r="94">
          <cell r="C94">
            <v>7900000</v>
          </cell>
          <cell r="D94">
            <v>1136</v>
          </cell>
          <cell r="E94">
            <v>8917139501</v>
          </cell>
          <cell r="F94">
            <v>1872444805</v>
          </cell>
        </row>
        <row r="95">
          <cell r="C95">
            <v>8000000</v>
          </cell>
          <cell r="D95">
            <v>1204</v>
          </cell>
          <cell r="E95">
            <v>9574050415</v>
          </cell>
          <cell r="F95">
            <v>1882038874</v>
          </cell>
        </row>
        <row r="96">
          <cell r="C96">
            <v>8100000</v>
          </cell>
          <cell r="D96">
            <v>1067</v>
          </cell>
          <cell r="E96">
            <v>8591698669</v>
          </cell>
          <cell r="F96">
            <v>1852860656</v>
          </cell>
        </row>
        <row r="97">
          <cell r="C97">
            <v>8200000</v>
          </cell>
          <cell r="D97">
            <v>1013</v>
          </cell>
          <cell r="E97">
            <v>8256621028</v>
          </cell>
          <cell r="F97">
            <v>1754541179</v>
          </cell>
        </row>
        <row r="98">
          <cell r="C98">
            <v>8300000</v>
          </cell>
          <cell r="D98">
            <v>883</v>
          </cell>
          <cell r="E98">
            <v>7284706870</v>
          </cell>
          <cell r="F98">
            <v>1542440851</v>
          </cell>
        </row>
        <row r="99">
          <cell r="C99">
            <v>8400000</v>
          </cell>
          <cell r="D99">
            <v>1068</v>
          </cell>
          <cell r="E99">
            <v>8926939144</v>
          </cell>
          <cell r="F99">
            <v>1882361558</v>
          </cell>
        </row>
        <row r="100">
          <cell r="C100">
            <v>8500000</v>
          </cell>
          <cell r="D100">
            <v>909</v>
          </cell>
          <cell r="E100">
            <v>7679711367</v>
          </cell>
          <cell r="F100">
            <v>1690965301</v>
          </cell>
        </row>
        <row r="101">
          <cell r="C101">
            <v>8600000</v>
          </cell>
          <cell r="D101">
            <v>869</v>
          </cell>
          <cell r="E101">
            <v>7431153700</v>
          </cell>
          <cell r="F101">
            <v>1634775254</v>
          </cell>
        </row>
        <row r="102">
          <cell r="C102">
            <v>8700000</v>
          </cell>
          <cell r="D102">
            <v>921</v>
          </cell>
          <cell r="E102">
            <v>7965142153</v>
          </cell>
          <cell r="F102">
            <v>1679737060</v>
          </cell>
        </row>
        <row r="103">
          <cell r="C103">
            <v>8800000</v>
          </cell>
          <cell r="D103">
            <v>814</v>
          </cell>
          <cell r="E103">
            <v>7122239605</v>
          </cell>
          <cell r="F103">
            <v>1578914662</v>
          </cell>
        </row>
        <row r="104">
          <cell r="C104">
            <v>8900000</v>
          </cell>
          <cell r="D104">
            <v>779</v>
          </cell>
          <cell r="E104">
            <v>6893496967</v>
          </cell>
          <cell r="F104">
            <v>1516227640</v>
          </cell>
        </row>
        <row r="105">
          <cell r="C105">
            <v>9000000</v>
          </cell>
          <cell r="D105">
            <v>898</v>
          </cell>
          <cell r="E105">
            <v>8043355071</v>
          </cell>
          <cell r="F105">
            <v>1722068862</v>
          </cell>
        </row>
        <row r="106">
          <cell r="C106">
            <v>9100000</v>
          </cell>
          <cell r="D106">
            <v>788</v>
          </cell>
          <cell r="E106">
            <v>7129664503</v>
          </cell>
          <cell r="F106">
            <v>1624909270</v>
          </cell>
        </row>
        <row r="107">
          <cell r="C107">
            <v>9200000</v>
          </cell>
          <cell r="D107">
            <v>719</v>
          </cell>
          <cell r="E107">
            <v>6578070264</v>
          </cell>
          <cell r="F107">
            <v>1462999609</v>
          </cell>
        </row>
        <row r="108">
          <cell r="C108">
            <v>9300000</v>
          </cell>
          <cell r="D108">
            <v>742</v>
          </cell>
          <cell r="E108">
            <v>6863381849</v>
          </cell>
          <cell r="F108">
            <v>1524830953</v>
          </cell>
        </row>
        <row r="109">
          <cell r="C109">
            <v>9400000</v>
          </cell>
          <cell r="D109">
            <v>671</v>
          </cell>
          <cell r="E109">
            <v>6274466709</v>
          </cell>
          <cell r="F109">
            <v>1393924026</v>
          </cell>
        </row>
        <row r="110">
          <cell r="C110">
            <v>9500000</v>
          </cell>
          <cell r="D110">
            <v>624</v>
          </cell>
          <cell r="E110">
            <v>5896388841</v>
          </cell>
          <cell r="F110">
            <v>1348263636</v>
          </cell>
        </row>
        <row r="111">
          <cell r="C111">
            <v>9600000</v>
          </cell>
          <cell r="D111">
            <v>850</v>
          </cell>
          <cell r="E111">
            <v>8125901790</v>
          </cell>
          <cell r="F111">
            <v>1708078517</v>
          </cell>
        </row>
        <row r="112">
          <cell r="C112">
            <v>9700000</v>
          </cell>
          <cell r="D112">
            <v>644</v>
          </cell>
          <cell r="E112">
            <v>6215514042</v>
          </cell>
          <cell r="F112">
            <v>1372408008</v>
          </cell>
        </row>
        <row r="113">
          <cell r="C113">
            <v>9800000</v>
          </cell>
          <cell r="D113">
            <v>607</v>
          </cell>
          <cell r="E113">
            <v>5918234546</v>
          </cell>
          <cell r="F113">
            <v>1344549244</v>
          </cell>
        </row>
        <row r="114">
          <cell r="C114">
            <v>9900000</v>
          </cell>
          <cell r="D114">
            <v>637</v>
          </cell>
          <cell r="E114">
            <v>6275544327</v>
          </cell>
          <cell r="F114">
            <v>1388650895</v>
          </cell>
        </row>
        <row r="115">
          <cell r="C115">
            <v>10000000</v>
          </cell>
          <cell r="D115">
            <v>586</v>
          </cell>
          <cell r="E115">
            <v>5831492252</v>
          </cell>
          <cell r="F115">
            <v>1341240930</v>
          </cell>
        </row>
        <row r="116">
          <cell r="C116">
            <v>10100000</v>
          </cell>
          <cell r="D116">
            <v>577</v>
          </cell>
          <cell r="E116">
            <v>5799603344</v>
          </cell>
          <cell r="F116">
            <v>1304464867</v>
          </cell>
        </row>
        <row r="117">
          <cell r="C117">
            <v>10200000</v>
          </cell>
          <cell r="D117">
            <v>590</v>
          </cell>
          <cell r="E117">
            <v>5992214704</v>
          </cell>
          <cell r="F117">
            <v>1348856676</v>
          </cell>
        </row>
        <row r="118">
          <cell r="C118">
            <v>10300000</v>
          </cell>
          <cell r="D118">
            <v>522</v>
          </cell>
          <cell r="E118">
            <v>5350915453</v>
          </cell>
          <cell r="F118">
            <v>1174312955</v>
          </cell>
        </row>
        <row r="119">
          <cell r="C119">
            <v>10400000</v>
          </cell>
          <cell r="D119">
            <v>528</v>
          </cell>
          <cell r="E119">
            <v>5464978061</v>
          </cell>
          <cell r="F119">
            <v>1255624474</v>
          </cell>
        </row>
        <row r="120">
          <cell r="C120">
            <v>10500000</v>
          </cell>
          <cell r="D120">
            <v>531</v>
          </cell>
          <cell r="E120">
            <v>5549828285</v>
          </cell>
          <cell r="F120">
            <v>1274714305</v>
          </cell>
        </row>
        <row r="121">
          <cell r="D121">
            <v>31116</v>
          </cell>
          <cell r="E121">
            <v>705782778042</v>
          </cell>
          <cell r="F121">
            <v>193026868571</v>
          </cell>
        </row>
        <row r="122">
          <cell r="F122">
            <v>275921841338</v>
          </cell>
        </row>
        <row r="126">
          <cell r="D126">
            <v>1252848</v>
          </cell>
          <cell r="E126">
            <v>3210110729032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2C5B-5412-4744-98F1-E9C56304D076}">
  <dimension ref="A1:V185"/>
  <sheetViews>
    <sheetView tabSelected="1" topLeftCell="G1" workbookViewId="0">
      <selection activeCell="V2" sqref="V2"/>
    </sheetView>
  </sheetViews>
  <sheetFormatPr defaultRowHeight="14.25" x14ac:dyDescent="0.45"/>
  <cols>
    <col min="1" max="1" width="11.6640625" style="1" bestFit="1" customWidth="1"/>
    <col min="2" max="2" width="13.796875" style="1" bestFit="1" customWidth="1"/>
    <col min="3" max="3" width="12.9296875" style="1" bestFit="1" customWidth="1"/>
    <col min="4" max="6" width="13" style="1" bestFit="1" customWidth="1"/>
    <col min="7" max="7" width="8.796875" style="1" bestFit="1" customWidth="1"/>
    <col min="8" max="8" width="8.86328125" style="1" bestFit="1" customWidth="1"/>
    <col min="9" max="9" width="9.33203125" style="1" bestFit="1" customWidth="1"/>
    <col min="10" max="10" width="7" style="1" bestFit="1" customWidth="1"/>
    <col min="11" max="11" width="8.1328125" style="1" bestFit="1" customWidth="1"/>
    <col min="12" max="12" width="7.53125" style="1" bestFit="1" customWidth="1"/>
    <col min="13" max="13" width="7.3984375" style="1" bestFit="1" customWidth="1"/>
    <col min="14" max="14" width="7.46484375" style="1" bestFit="1" customWidth="1"/>
    <col min="15" max="15" width="9.19921875" style="1" bestFit="1" customWidth="1"/>
    <col min="16" max="16" width="9.265625" style="1" bestFit="1" customWidth="1"/>
    <col min="17" max="17" width="9.19921875" style="1" bestFit="1" customWidth="1"/>
    <col min="18" max="18" width="9.33203125" style="1" bestFit="1" customWidth="1"/>
    <col min="19" max="19" width="18.19921875" style="1" customWidth="1"/>
    <col min="20" max="20" width="14.9296875" style="1" bestFit="1" customWidth="1"/>
    <col min="21" max="21" width="15.86328125" style="1" customWidth="1"/>
    <col min="22" max="22" width="13.19921875" style="1" bestFit="1" customWidth="1"/>
    <col min="23" max="16384" width="9.06640625" style="1"/>
  </cols>
  <sheetData>
    <row r="1" spans="1:22" ht="28.5" x14ac:dyDescent="0.45">
      <c r="A1" s="3" t="s">
        <v>0</v>
      </c>
      <c r="B1" s="3" t="s">
        <v>1</v>
      </c>
      <c r="C1" s="17" t="s">
        <v>4</v>
      </c>
      <c r="D1" s="17" t="s">
        <v>5</v>
      </c>
      <c r="E1" s="17" t="s">
        <v>6</v>
      </c>
      <c r="F1" s="17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2" t="s">
        <v>20</v>
      </c>
      <c r="T1" s="13" t="s">
        <v>21</v>
      </c>
      <c r="U1" s="12" t="s">
        <v>22</v>
      </c>
      <c r="V1" s="13" t="s">
        <v>23</v>
      </c>
    </row>
    <row r="2" spans="1:22" x14ac:dyDescent="0.45">
      <c r="A2" s="2" t="s">
        <v>2</v>
      </c>
      <c r="B2" s="4">
        <v>0</v>
      </c>
      <c r="C2" s="5">
        <v>0</v>
      </c>
      <c r="D2" s="5">
        <v>0</v>
      </c>
      <c r="E2" s="5">
        <v>0</v>
      </c>
      <c r="F2" s="5">
        <v>0</v>
      </c>
      <c r="G2" s="7">
        <v>0</v>
      </c>
      <c r="H2" s="7">
        <v>0</v>
      </c>
      <c r="I2" s="7">
        <v>0</v>
      </c>
      <c r="J2" s="7">
        <v>0</v>
      </c>
      <c r="K2" s="9">
        <v>0</v>
      </c>
      <c r="L2" s="9">
        <v>0</v>
      </c>
      <c r="M2" s="9">
        <v>0</v>
      </c>
      <c r="N2" s="9">
        <v>0</v>
      </c>
      <c r="O2" s="11">
        <v>0</v>
      </c>
      <c r="P2" s="11">
        <v>0</v>
      </c>
      <c r="Q2" s="11">
        <v>0</v>
      </c>
      <c r="R2" s="11">
        <v>0</v>
      </c>
      <c r="S2" s="14"/>
      <c r="T2" s="14"/>
      <c r="U2" s="14"/>
      <c r="V2" s="18"/>
    </row>
    <row r="3" spans="1:22" x14ac:dyDescent="0.45">
      <c r="A3" s="2" t="s">
        <v>2</v>
      </c>
      <c r="B3" s="4">
        <v>100000</v>
      </c>
      <c r="C3" s="5">
        <v>0</v>
      </c>
      <c r="D3" s="5">
        <v>0</v>
      </c>
      <c r="E3" s="5">
        <v>0</v>
      </c>
      <c r="F3" s="5">
        <v>0</v>
      </c>
      <c r="G3" s="7">
        <v>0</v>
      </c>
      <c r="H3" s="7">
        <v>0</v>
      </c>
      <c r="I3" s="7">
        <v>0</v>
      </c>
      <c r="J3" s="7">
        <v>0</v>
      </c>
      <c r="K3" s="9">
        <v>0</v>
      </c>
      <c r="L3" s="9">
        <v>0</v>
      </c>
      <c r="M3" s="9">
        <v>0</v>
      </c>
      <c r="N3" s="9">
        <v>0</v>
      </c>
      <c r="O3" s="11">
        <v>0</v>
      </c>
      <c r="P3" s="11">
        <v>0</v>
      </c>
      <c r="Q3" s="11">
        <v>0</v>
      </c>
      <c r="R3" s="11">
        <v>0</v>
      </c>
      <c r="S3" s="14"/>
      <c r="T3" s="14"/>
      <c r="U3" s="14"/>
      <c r="V3" s="18"/>
    </row>
    <row r="4" spans="1:22" x14ac:dyDescent="0.45">
      <c r="A4" s="2" t="s">
        <v>2</v>
      </c>
      <c r="B4" s="4">
        <v>200000</v>
      </c>
      <c r="C4" s="5">
        <v>0</v>
      </c>
      <c r="D4" s="5">
        <v>0</v>
      </c>
      <c r="E4" s="5">
        <v>0</v>
      </c>
      <c r="F4" s="5">
        <v>0</v>
      </c>
      <c r="G4" s="7">
        <v>0</v>
      </c>
      <c r="H4" s="7">
        <v>0</v>
      </c>
      <c r="I4" s="7">
        <v>0</v>
      </c>
      <c r="J4" s="7">
        <v>0</v>
      </c>
      <c r="K4" s="9">
        <v>0</v>
      </c>
      <c r="L4" s="9">
        <v>0</v>
      </c>
      <c r="M4" s="9">
        <v>0</v>
      </c>
      <c r="N4" s="9">
        <v>0</v>
      </c>
      <c r="O4" s="11">
        <v>0</v>
      </c>
      <c r="P4" s="11">
        <v>0</v>
      </c>
      <c r="Q4" s="11">
        <v>0</v>
      </c>
      <c r="R4" s="11">
        <v>0</v>
      </c>
      <c r="S4" s="14"/>
      <c r="T4" s="14"/>
      <c r="U4" s="14"/>
      <c r="V4" s="18"/>
    </row>
    <row r="5" spans="1:22" x14ac:dyDescent="0.45">
      <c r="A5" s="2" t="s">
        <v>2</v>
      </c>
      <c r="B5" s="4">
        <v>300000</v>
      </c>
      <c r="C5" s="5">
        <v>0</v>
      </c>
      <c r="D5" s="5">
        <v>0</v>
      </c>
      <c r="E5" s="5">
        <v>0</v>
      </c>
      <c r="F5" s="5">
        <v>0</v>
      </c>
      <c r="G5" s="7">
        <v>0</v>
      </c>
      <c r="H5" s="7">
        <v>0</v>
      </c>
      <c r="I5" s="7">
        <v>0</v>
      </c>
      <c r="J5" s="7">
        <v>0</v>
      </c>
      <c r="K5" s="9">
        <v>0</v>
      </c>
      <c r="L5" s="9">
        <v>0</v>
      </c>
      <c r="M5" s="9">
        <v>0</v>
      </c>
      <c r="N5" s="9">
        <v>0</v>
      </c>
      <c r="O5" s="11">
        <v>0</v>
      </c>
      <c r="P5" s="11">
        <v>0</v>
      </c>
      <c r="Q5" s="11">
        <v>0</v>
      </c>
      <c r="R5" s="11">
        <v>0</v>
      </c>
      <c r="S5" s="14"/>
      <c r="T5" s="14"/>
      <c r="U5" s="14"/>
      <c r="V5" s="18"/>
    </row>
    <row r="6" spans="1:22" x14ac:dyDescent="0.45">
      <c r="A6" s="2" t="s">
        <v>2</v>
      </c>
      <c r="B6" s="4">
        <v>400000</v>
      </c>
      <c r="C6" s="5">
        <v>0</v>
      </c>
      <c r="D6" s="5">
        <v>0</v>
      </c>
      <c r="E6" s="5">
        <v>0</v>
      </c>
      <c r="F6" s="5">
        <v>0</v>
      </c>
      <c r="G6" s="7">
        <v>0</v>
      </c>
      <c r="H6" s="7">
        <v>0</v>
      </c>
      <c r="I6" s="7">
        <v>0</v>
      </c>
      <c r="J6" s="7">
        <v>0</v>
      </c>
      <c r="K6" s="9">
        <v>0</v>
      </c>
      <c r="L6" s="9">
        <v>0</v>
      </c>
      <c r="M6" s="9">
        <v>0</v>
      </c>
      <c r="N6" s="9">
        <v>0</v>
      </c>
      <c r="O6" s="11">
        <v>0</v>
      </c>
      <c r="P6" s="11">
        <v>0</v>
      </c>
      <c r="Q6" s="11">
        <v>0</v>
      </c>
      <c r="R6" s="11">
        <v>0</v>
      </c>
      <c r="S6" s="14"/>
      <c r="T6" s="14"/>
      <c r="U6" s="14"/>
      <c r="V6" s="18"/>
    </row>
    <row r="7" spans="1:22" x14ac:dyDescent="0.45">
      <c r="A7" s="2" t="s">
        <v>2</v>
      </c>
      <c r="B7" s="4">
        <v>500000</v>
      </c>
      <c r="C7" s="5">
        <v>0</v>
      </c>
      <c r="D7" s="5">
        <v>0</v>
      </c>
      <c r="E7" s="5">
        <v>0</v>
      </c>
      <c r="F7" s="5">
        <v>0</v>
      </c>
      <c r="G7" s="7">
        <v>0</v>
      </c>
      <c r="H7" s="7">
        <v>0</v>
      </c>
      <c r="I7" s="7">
        <v>0</v>
      </c>
      <c r="J7" s="7">
        <v>0</v>
      </c>
      <c r="K7" s="9">
        <v>0</v>
      </c>
      <c r="L7" s="9">
        <v>0</v>
      </c>
      <c r="M7" s="9">
        <v>0</v>
      </c>
      <c r="N7" s="9">
        <v>0</v>
      </c>
      <c r="O7" s="11">
        <v>0</v>
      </c>
      <c r="P7" s="11">
        <v>0</v>
      </c>
      <c r="Q7" s="11">
        <v>0</v>
      </c>
      <c r="R7" s="11">
        <v>0</v>
      </c>
      <c r="S7" s="14"/>
      <c r="T7" s="14"/>
      <c r="U7" s="14"/>
      <c r="V7" s="18"/>
    </row>
    <row r="8" spans="1:22" x14ac:dyDescent="0.45">
      <c r="A8" s="2" t="s">
        <v>2</v>
      </c>
      <c r="B8" s="4">
        <v>600000</v>
      </c>
      <c r="C8" s="5">
        <v>0</v>
      </c>
      <c r="D8" s="5">
        <v>0</v>
      </c>
      <c r="E8" s="5">
        <v>0</v>
      </c>
      <c r="F8" s="5">
        <v>0</v>
      </c>
      <c r="G8" s="7">
        <v>0</v>
      </c>
      <c r="H8" s="7">
        <v>0</v>
      </c>
      <c r="I8" s="7">
        <v>0</v>
      </c>
      <c r="J8" s="7">
        <v>0</v>
      </c>
      <c r="K8" s="9">
        <v>0</v>
      </c>
      <c r="L8" s="9">
        <v>0</v>
      </c>
      <c r="M8" s="9">
        <v>0</v>
      </c>
      <c r="N8" s="9">
        <v>0</v>
      </c>
      <c r="O8" s="11">
        <v>0</v>
      </c>
      <c r="P8" s="11">
        <v>0</v>
      </c>
      <c r="Q8" s="11">
        <v>0</v>
      </c>
      <c r="R8" s="11">
        <v>0</v>
      </c>
      <c r="S8" s="14"/>
      <c r="T8" s="14"/>
      <c r="U8" s="14"/>
      <c r="V8" s="18"/>
    </row>
    <row r="9" spans="1:22" x14ac:dyDescent="0.45">
      <c r="A9" s="2" t="s">
        <v>2</v>
      </c>
      <c r="B9" s="4">
        <v>700000</v>
      </c>
      <c r="C9" s="5">
        <v>5000</v>
      </c>
      <c r="D9" s="5">
        <v>7500</v>
      </c>
      <c r="E9" s="5">
        <v>15000</v>
      </c>
      <c r="F9" s="5">
        <v>15000</v>
      </c>
      <c r="G9" s="7">
        <v>0.05</v>
      </c>
      <c r="H9" s="7">
        <v>7.4999999999999997E-2</v>
      </c>
      <c r="I9" s="7">
        <v>0.15</v>
      </c>
      <c r="J9" s="7">
        <v>0.15</v>
      </c>
      <c r="K9" s="9">
        <v>7.1428571428571426E-3</v>
      </c>
      <c r="L9" s="9">
        <v>1.0714285714285714E-2</v>
      </c>
      <c r="M9" s="9">
        <v>2.1428571428571429E-2</v>
      </c>
      <c r="N9" s="9">
        <v>2.1428571428571429E-2</v>
      </c>
      <c r="O9" s="11">
        <v>7.1428571428571426E-3</v>
      </c>
      <c r="P9" s="11">
        <v>1.0714285714285714E-2</v>
      </c>
      <c r="Q9" s="11">
        <v>2.1428571428571429E-2</v>
      </c>
      <c r="R9" s="11">
        <v>2.1428571428571429E-2</v>
      </c>
      <c r="S9" s="14"/>
      <c r="T9" s="14"/>
      <c r="U9" s="14"/>
      <c r="V9" s="18"/>
    </row>
    <row r="10" spans="1:22" x14ac:dyDescent="0.45">
      <c r="A10" s="2" t="s">
        <v>2</v>
      </c>
      <c r="B10" s="4">
        <v>800000</v>
      </c>
      <c r="C10" s="5">
        <v>10000</v>
      </c>
      <c r="D10" s="5">
        <v>15000</v>
      </c>
      <c r="E10" s="5">
        <v>30000</v>
      </c>
      <c r="F10" s="5">
        <v>30000</v>
      </c>
      <c r="G10" s="7">
        <v>0.05</v>
      </c>
      <c r="H10" s="7">
        <v>7.4999999999999997E-2</v>
      </c>
      <c r="I10" s="7">
        <v>0.15</v>
      </c>
      <c r="J10" s="7">
        <v>0.15</v>
      </c>
      <c r="K10" s="9">
        <v>1.2500000000000001E-2</v>
      </c>
      <c r="L10" s="9">
        <v>1.8749999999999999E-2</v>
      </c>
      <c r="M10" s="9">
        <v>3.7499999999999999E-2</v>
      </c>
      <c r="N10" s="9">
        <v>3.7499999999999999E-2</v>
      </c>
      <c r="O10" s="11">
        <v>5.3571428571428581E-3</v>
      </c>
      <c r="P10" s="11">
        <v>8.0357142857142849E-3</v>
      </c>
      <c r="Q10" s="11">
        <v>1.607142857142857E-2</v>
      </c>
      <c r="R10" s="11">
        <v>1.607142857142857E-2</v>
      </c>
      <c r="S10" s="14"/>
      <c r="T10" s="14"/>
      <c r="U10" s="14"/>
      <c r="V10" s="18"/>
    </row>
    <row r="11" spans="1:22" x14ac:dyDescent="0.45">
      <c r="A11" s="2" t="s">
        <v>2</v>
      </c>
      <c r="B11" s="4">
        <v>900000</v>
      </c>
      <c r="C11" s="5">
        <v>22500</v>
      </c>
      <c r="D11" s="5">
        <v>30000</v>
      </c>
      <c r="E11" s="5">
        <v>45000</v>
      </c>
      <c r="F11" s="5">
        <v>45000</v>
      </c>
      <c r="G11" s="7">
        <v>0.125</v>
      </c>
      <c r="H11" s="7">
        <v>0.15</v>
      </c>
      <c r="I11" s="7">
        <v>0.15</v>
      </c>
      <c r="J11" s="7">
        <v>0.15</v>
      </c>
      <c r="K11" s="9">
        <v>2.5000000000000001E-2</v>
      </c>
      <c r="L11" s="9">
        <v>3.3333333333333333E-2</v>
      </c>
      <c r="M11" s="9">
        <v>0.05</v>
      </c>
      <c r="N11" s="9">
        <v>0.05</v>
      </c>
      <c r="O11" s="11">
        <v>1.2500000000000001E-2</v>
      </c>
      <c r="P11" s="11">
        <v>1.4583333333333334E-2</v>
      </c>
      <c r="Q11" s="11">
        <v>1.2500000000000004E-2</v>
      </c>
      <c r="R11" s="11">
        <v>1.2500000000000004E-2</v>
      </c>
      <c r="S11" s="14"/>
      <c r="T11" s="14"/>
      <c r="U11" s="14"/>
      <c r="V11" s="18"/>
    </row>
    <row r="12" spans="1:22" x14ac:dyDescent="0.45">
      <c r="A12" s="2" t="s">
        <v>2</v>
      </c>
      <c r="B12" s="4">
        <v>1000000</v>
      </c>
      <c r="C12" s="5">
        <v>35000</v>
      </c>
      <c r="D12" s="5">
        <v>45000</v>
      </c>
      <c r="E12" s="5">
        <v>60000</v>
      </c>
      <c r="F12" s="5">
        <v>60000</v>
      </c>
      <c r="G12" s="7">
        <v>0.125</v>
      </c>
      <c r="H12" s="7">
        <v>0.15</v>
      </c>
      <c r="I12" s="7">
        <v>0.15</v>
      </c>
      <c r="J12" s="7">
        <v>0.15</v>
      </c>
      <c r="K12" s="9">
        <v>3.5000000000000003E-2</v>
      </c>
      <c r="L12" s="9">
        <v>4.4999999999999998E-2</v>
      </c>
      <c r="M12" s="9">
        <v>0.06</v>
      </c>
      <c r="N12" s="9">
        <v>0.06</v>
      </c>
      <c r="O12" s="11">
        <v>1.0000000000000002E-2</v>
      </c>
      <c r="P12" s="11">
        <v>1.1666666666666665E-2</v>
      </c>
      <c r="Q12" s="11">
        <v>9.999999999999995E-3</v>
      </c>
      <c r="R12" s="11">
        <v>9.999999999999995E-3</v>
      </c>
      <c r="S12" s="14"/>
      <c r="T12" s="14"/>
      <c r="U12" s="14"/>
      <c r="V12" s="18"/>
    </row>
    <row r="13" spans="1:22" x14ac:dyDescent="0.45">
      <c r="A13" s="2" t="s">
        <v>2</v>
      </c>
      <c r="B13" s="4">
        <v>1100000</v>
      </c>
      <c r="C13" s="5">
        <v>47500</v>
      </c>
      <c r="D13" s="5">
        <v>60000</v>
      </c>
      <c r="E13" s="5">
        <v>75000</v>
      </c>
      <c r="F13" s="5">
        <v>75000</v>
      </c>
      <c r="G13" s="7">
        <v>0.125</v>
      </c>
      <c r="H13" s="7">
        <v>0.15</v>
      </c>
      <c r="I13" s="7">
        <v>0.15</v>
      </c>
      <c r="J13" s="7">
        <v>0.15</v>
      </c>
      <c r="K13" s="9">
        <v>4.3181818181818182E-2</v>
      </c>
      <c r="L13" s="9">
        <v>5.4545454545454543E-2</v>
      </c>
      <c r="M13" s="9">
        <v>6.8181818181818177E-2</v>
      </c>
      <c r="N13" s="9">
        <v>6.8181818181818177E-2</v>
      </c>
      <c r="O13" s="11">
        <v>8.181818181818179E-3</v>
      </c>
      <c r="P13" s="11">
        <v>9.5454545454545445E-3</v>
      </c>
      <c r="Q13" s="11">
        <v>8.181818181818179E-3</v>
      </c>
      <c r="R13" s="11">
        <v>8.181818181818179E-3</v>
      </c>
      <c r="S13" s="14"/>
      <c r="T13" s="14"/>
      <c r="U13" s="14"/>
      <c r="V13" s="18"/>
    </row>
    <row r="14" spans="1:22" x14ac:dyDescent="0.45">
      <c r="A14" s="2" t="s">
        <v>2</v>
      </c>
      <c r="B14" s="4">
        <v>1200000</v>
      </c>
      <c r="C14" s="5">
        <v>60000</v>
      </c>
      <c r="D14" s="5">
        <v>75000</v>
      </c>
      <c r="E14" s="5">
        <v>90000</v>
      </c>
      <c r="F14" s="5">
        <v>90000</v>
      </c>
      <c r="G14" s="7">
        <v>0.125</v>
      </c>
      <c r="H14" s="7">
        <v>0.15</v>
      </c>
      <c r="I14" s="7">
        <v>0.15</v>
      </c>
      <c r="J14" s="7">
        <v>0.15</v>
      </c>
      <c r="K14" s="9">
        <v>0.05</v>
      </c>
      <c r="L14" s="9">
        <v>6.25E-2</v>
      </c>
      <c r="M14" s="9">
        <v>7.4999999999999997E-2</v>
      </c>
      <c r="N14" s="9">
        <v>7.4999999999999997E-2</v>
      </c>
      <c r="O14" s="11">
        <v>6.8181818181818205E-3</v>
      </c>
      <c r="P14" s="11">
        <v>7.9545454545454572E-3</v>
      </c>
      <c r="Q14" s="11">
        <v>6.8181818181818205E-3</v>
      </c>
      <c r="R14" s="11">
        <v>6.8181818181818205E-3</v>
      </c>
      <c r="S14" s="14"/>
      <c r="T14" s="14"/>
      <c r="U14" s="14"/>
      <c r="V14" s="18"/>
    </row>
    <row r="15" spans="1:22" x14ac:dyDescent="0.45">
      <c r="A15" s="2" t="s">
        <v>2</v>
      </c>
      <c r="B15" s="4">
        <v>1300000</v>
      </c>
      <c r="C15" s="5">
        <v>77500</v>
      </c>
      <c r="D15" s="5">
        <v>95000</v>
      </c>
      <c r="E15" s="5">
        <v>110000</v>
      </c>
      <c r="F15" s="5">
        <v>110000</v>
      </c>
      <c r="G15" s="7">
        <v>0.17499999999999999</v>
      </c>
      <c r="H15" s="7">
        <v>0.2</v>
      </c>
      <c r="I15" s="7">
        <v>0.2</v>
      </c>
      <c r="J15" s="7">
        <v>0.2</v>
      </c>
      <c r="K15" s="9">
        <v>5.9615384615384619E-2</v>
      </c>
      <c r="L15" s="9">
        <v>7.3076923076923081E-2</v>
      </c>
      <c r="M15" s="9">
        <v>8.461538461538462E-2</v>
      </c>
      <c r="N15" s="9">
        <v>8.461538461538462E-2</v>
      </c>
      <c r="O15" s="11">
        <v>9.6153846153846159E-3</v>
      </c>
      <c r="P15" s="11">
        <v>1.0576923076923081E-2</v>
      </c>
      <c r="Q15" s="11">
        <v>9.6153846153846229E-3</v>
      </c>
      <c r="R15" s="11">
        <v>9.6153846153846229E-3</v>
      </c>
      <c r="S15" s="14"/>
      <c r="T15" s="14"/>
      <c r="U15" s="14"/>
      <c r="V15" s="18"/>
    </row>
    <row r="16" spans="1:22" x14ac:dyDescent="0.45">
      <c r="A16" s="2" t="s">
        <v>2</v>
      </c>
      <c r="B16" s="4">
        <v>1400000</v>
      </c>
      <c r="C16" s="5">
        <v>95000</v>
      </c>
      <c r="D16" s="5">
        <v>115000</v>
      </c>
      <c r="E16" s="5">
        <v>130000</v>
      </c>
      <c r="F16" s="5">
        <v>130000</v>
      </c>
      <c r="G16" s="7">
        <v>0.17499999999999999</v>
      </c>
      <c r="H16" s="7">
        <v>0.2</v>
      </c>
      <c r="I16" s="7">
        <v>0.2</v>
      </c>
      <c r="J16" s="7">
        <v>0.2</v>
      </c>
      <c r="K16" s="9">
        <v>6.7857142857142852E-2</v>
      </c>
      <c r="L16" s="9">
        <v>8.2142857142857142E-2</v>
      </c>
      <c r="M16" s="9">
        <v>9.285714285714286E-2</v>
      </c>
      <c r="N16" s="9">
        <v>9.285714285714286E-2</v>
      </c>
      <c r="O16" s="11">
        <v>8.2417582417582333E-3</v>
      </c>
      <c r="P16" s="11">
        <v>9.0659340659340615E-3</v>
      </c>
      <c r="Q16" s="11">
        <v>8.2417582417582402E-3</v>
      </c>
      <c r="R16" s="11">
        <v>8.2417582417582402E-3</v>
      </c>
      <c r="S16" s="14"/>
      <c r="T16" s="14"/>
      <c r="U16" s="14"/>
      <c r="V16" s="18"/>
    </row>
    <row r="17" spans="1:22" x14ac:dyDescent="0.45">
      <c r="A17" s="2" t="s">
        <v>2</v>
      </c>
      <c r="B17" s="4">
        <v>1500000</v>
      </c>
      <c r="C17" s="5">
        <v>112500</v>
      </c>
      <c r="D17" s="5">
        <v>135000</v>
      </c>
      <c r="E17" s="5">
        <v>150000</v>
      </c>
      <c r="F17" s="5">
        <v>150000</v>
      </c>
      <c r="G17" s="7">
        <v>0.17499999999999999</v>
      </c>
      <c r="H17" s="7">
        <v>0.2</v>
      </c>
      <c r="I17" s="7">
        <v>0.2</v>
      </c>
      <c r="J17" s="7">
        <v>0.2</v>
      </c>
      <c r="K17" s="9">
        <v>7.4999999999999997E-2</v>
      </c>
      <c r="L17" s="9">
        <v>0.09</v>
      </c>
      <c r="M17" s="9">
        <v>0.1</v>
      </c>
      <c r="N17" s="9">
        <v>0.1</v>
      </c>
      <c r="O17" s="11">
        <v>7.1428571428571452E-3</v>
      </c>
      <c r="P17" s="11">
        <v>7.8571428571428542E-3</v>
      </c>
      <c r="Q17" s="11">
        <v>7.1428571428571452E-3</v>
      </c>
      <c r="R17" s="11">
        <v>7.1428571428571452E-3</v>
      </c>
      <c r="S17" s="14"/>
      <c r="T17" s="14"/>
      <c r="U17" s="14"/>
      <c r="V17" s="18"/>
    </row>
    <row r="18" spans="1:22" x14ac:dyDescent="0.45">
      <c r="A18" s="2" t="s">
        <v>2</v>
      </c>
      <c r="B18" s="4">
        <v>1600000</v>
      </c>
      <c r="C18" s="5">
        <v>130000</v>
      </c>
      <c r="D18" s="5">
        <v>155000</v>
      </c>
      <c r="E18" s="5">
        <v>170000</v>
      </c>
      <c r="F18" s="5">
        <v>170000</v>
      </c>
      <c r="G18" s="7">
        <v>0.17499999999999999</v>
      </c>
      <c r="H18" s="7">
        <v>0.2</v>
      </c>
      <c r="I18" s="7">
        <v>0.2</v>
      </c>
      <c r="J18" s="7">
        <v>0.2</v>
      </c>
      <c r="K18" s="9">
        <v>8.1250000000000003E-2</v>
      </c>
      <c r="L18" s="9">
        <v>9.6875000000000003E-2</v>
      </c>
      <c r="M18" s="9">
        <v>0.10625</v>
      </c>
      <c r="N18" s="9">
        <v>0.10625</v>
      </c>
      <c r="O18" s="11">
        <v>6.2500000000000056E-3</v>
      </c>
      <c r="P18" s="11">
        <v>6.8750000000000061E-3</v>
      </c>
      <c r="Q18" s="11">
        <v>6.2499999999999917E-3</v>
      </c>
      <c r="R18" s="11">
        <v>6.2499999999999917E-3</v>
      </c>
      <c r="S18" s="14"/>
      <c r="T18" s="14"/>
      <c r="U18" s="14"/>
      <c r="V18" s="18"/>
    </row>
    <row r="19" spans="1:22" x14ac:dyDescent="0.45">
      <c r="A19" s="2" t="s">
        <v>2</v>
      </c>
      <c r="B19" s="4">
        <v>1700000</v>
      </c>
      <c r="C19" s="5">
        <v>147500</v>
      </c>
      <c r="D19" s="5">
        <v>175000</v>
      </c>
      <c r="E19" s="5">
        <v>200000</v>
      </c>
      <c r="F19" s="5">
        <v>200000</v>
      </c>
      <c r="G19" s="7">
        <v>0.17499999999999999</v>
      </c>
      <c r="H19" s="7">
        <v>0.2</v>
      </c>
      <c r="I19" s="7">
        <v>0.3</v>
      </c>
      <c r="J19" s="7">
        <v>0.3</v>
      </c>
      <c r="K19" s="9">
        <v>8.6764705882352938E-2</v>
      </c>
      <c r="L19" s="9">
        <v>0.10294117647058823</v>
      </c>
      <c r="M19" s="9">
        <v>0.11764705882352941</v>
      </c>
      <c r="N19" s="9">
        <v>0.11764705882352941</v>
      </c>
      <c r="O19" s="11">
        <v>5.5147058823529355E-3</v>
      </c>
      <c r="P19" s="11">
        <v>6.0661764705882276E-3</v>
      </c>
      <c r="Q19" s="11">
        <v>1.1397058823529413E-2</v>
      </c>
      <c r="R19" s="11">
        <v>1.1397058823529413E-2</v>
      </c>
      <c r="S19" s="14"/>
      <c r="T19" s="14"/>
      <c r="U19" s="14"/>
      <c r="V19" s="18"/>
    </row>
    <row r="20" spans="1:22" x14ac:dyDescent="0.45">
      <c r="A20" s="2" t="s">
        <v>2</v>
      </c>
      <c r="B20" s="4">
        <v>1800000</v>
      </c>
      <c r="C20" s="5">
        <v>165000</v>
      </c>
      <c r="D20" s="5">
        <v>195000</v>
      </c>
      <c r="E20" s="5">
        <v>230000</v>
      </c>
      <c r="F20" s="5">
        <v>230000</v>
      </c>
      <c r="G20" s="7">
        <v>0.17499999999999999</v>
      </c>
      <c r="H20" s="7">
        <v>0.2</v>
      </c>
      <c r="I20" s="7">
        <v>0.3</v>
      </c>
      <c r="J20" s="7">
        <v>0.3</v>
      </c>
      <c r="K20" s="9">
        <v>9.166666666666666E-2</v>
      </c>
      <c r="L20" s="9">
        <v>0.10833333333333334</v>
      </c>
      <c r="M20" s="9">
        <v>0.12777777777777777</v>
      </c>
      <c r="N20" s="9">
        <v>0.12777777777777777</v>
      </c>
      <c r="O20" s="11">
        <v>4.901960784313722E-3</v>
      </c>
      <c r="P20" s="11">
        <v>5.3921568627451066E-3</v>
      </c>
      <c r="Q20" s="11">
        <v>1.0130718954248358E-2</v>
      </c>
      <c r="R20" s="11">
        <v>1.0130718954248358E-2</v>
      </c>
      <c r="S20" s="14"/>
      <c r="T20" s="14"/>
      <c r="U20" s="14"/>
      <c r="V20" s="18"/>
    </row>
    <row r="21" spans="1:22" x14ac:dyDescent="0.45">
      <c r="A21" s="2" t="s">
        <v>2</v>
      </c>
      <c r="B21" s="4">
        <v>1900000</v>
      </c>
      <c r="C21" s="5">
        <v>182500</v>
      </c>
      <c r="D21" s="5">
        <v>215000</v>
      </c>
      <c r="E21" s="5">
        <v>260000</v>
      </c>
      <c r="F21" s="5">
        <v>260000</v>
      </c>
      <c r="G21" s="7">
        <v>0.17499999999999999</v>
      </c>
      <c r="H21" s="7">
        <v>0.2</v>
      </c>
      <c r="I21" s="7">
        <v>0.3</v>
      </c>
      <c r="J21" s="7">
        <v>0.3</v>
      </c>
      <c r="K21" s="9">
        <v>9.6052631578947362E-2</v>
      </c>
      <c r="L21" s="9">
        <v>0.11315789473684211</v>
      </c>
      <c r="M21" s="9">
        <v>0.1368421052631579</v>
      </c>
      <c r="N21" s="9">
        <v>0.1368421052631579</v>
      </c>
      <c r="O21" s="11">
        <v>4.3859649122807015E-3</v>
      </c>
      <c r="P21" s="11">
        <v>4.824561403508773E-3</v>
      </c>
      <c r="Q21" s="11">
        <v>9.0643274853801359E-3</v>
      </c>
      <c r="R21" s="11">
        <v>9.0643274853801359E-3</v>
      </c>
      <c r="S21" s="14"/>
      <c r="T21" s="14"/>
      <c r="U21" s="14"/>
      <c r="V21" s="18"/>
    </row>
    <row r="22" spans="1:22" x14ac:dyDescent="0.45">
      <c r="A22" s="2" t="s">
        <v>2</v>
      </c>
      <c r="B22" s="4">
        <v>2000000</v>
      </c>
      <c r="C22" s="5">
        <v>200000</v>
      </c>
      <c r="D22" s="5">
        <v>235000</v>
      </c>
      <c r="E22" s="5">
        <v>290000</v>
      </c>
      <c r="F22" s="5">
        <v>290000</v>
      </c>
      <c r="G22" s="7">
        <v>0.17499999999999999</v>
      </c>
      <c r="H22" s="7">
        <v>0.2</v>
      </c>
      <c r="I22" s="7">
        <v>0.3</v>
      </c>
      <c r="J22" s="7">
        <v>0.3</v>
      </c>
      <c r="K22" s="9">
        <v>0.1</v>
      </c>
      <c r="L22" s="9">
        <v>0.11749999999999999</v>
      </c>
      <c r="M22" s="9">
        <v>0.14499999999999999</v>
      </c>
      <c r="N22" s="9">
        <v>0.14499999999999999</v>
      </c>
      <c r="O22" s="11">
        <v>3.9473684210526438E-3</v>
      </c>
      <c r="P22" s="11">
        <v>4.3421052631578833E-3</v>
      </c>
      <c r="Q22" s="11">
        <v>8.1578947368420862E-3</v>
      </c>
      <c r="R22" s="11">
        <v>8.1578947368420862E-3</v>
      </c>
      <c r="S22" s="14"/>
      <c r="T22" s="14"/>
      <c r="U22" s="14"/>
      <c r="V22" s="18"/>
    </row>
    <row r="23" spans="1:22" x14ac:dyDescent="0.45">
      <c r="A23" s="2" t="s">
        <v>2</v>
      </c>
      <c r="B23" s="4">
        <v>2100000</v>
      </c>
      <c r="C23" s="5">
        <v>217500</v>
      </c>
      <c r="D23" s="5">
        <v>255000</v>
      </c>
      <c r="E23" s="5">
        <v>320000</v>
      </c>
      <c r="F23" s="5">
        <v>320000</v>
      </c>
      <c r="G23" s="7">
        <v>0.17499999999999999</v>
      </c>
      <c r="H23" s="7">
        <v>0.2</v>
      </c>
      <c r="I23" s="7">
        <v>0.3</v>
      </c>
      <c r="J23" s="7">
        <v>0.3</v>
      </c>
      <c r="K23" s="9">
        <v>0.10357142857142858</v>
      </c>
      <c r="L23" s="9">
        <v>0.12142857142857143</v>
      </c>
      <c r="M23" s="9">
        <v>0.15238095238095239</v>
      </c>
      <c r="N23" s="9">
        <v>0.15238095238095239</v>
      </c>
      <c r="O23" s="11">
        <v>3.5714285714285726E-3</v>
      </c>
      <c r="P23" s="11">
        <v>3.928571428571434E-3</v>
      </c>
      <c r="Q23" s="11">
        <v>7.3809523809524047E-3</v>
      </c>
      <c r="R23" s="11">
        <v>7.3809523809524047E-3</v>
      </c>
      <c r="S23" s="14"/>
      <c r="T23" s="14"/>
      <c r="U23" s="14"/>
      <c r="V23" s="18"/>
    </row>
    <row r="24" spans="1:22" x14ac:dyDescent="0.45">
      <c r="A24" s="2" t="s">
        <v>2</v>
      </c>
      <c r="B24" s="4">
        <v>2200000</v>
      </c>
      <c r="C24" s="5">
        <v>235000</v>
      </c>
      <c r="D24" s="5">
        <v>275000</v>
      </c>
      <c r="E24" s="5">
        <v>350000</v>
      </c>
      <c r="F24" s="5">
        <v>350000</v>
      </c>
      <c r="G24" s="7">
        <v>0.17499999999999999</v>
      </c>
      <c r="H24" s="7">
        <v>0.2</v>
      </c>
      <c r="I24" s="7">
        <v>0.3</v>
      </c>
      <c r="J24" s="7">
        <v>0.3</v>
      </c>
      <c r="K24" s="9">
        <v>0.10681818181818181</v>
      </c>
      <c r="L24" s="9">
        <v>0.125</v>
      </c>
      <c r="M24" s="9">
        <v>0.15909090909090909</v>
      </c>
      <c r="N24" s="9">
        <v>0.15909090909090909</v>
      </c>
      <c r="O24" s="11">
        <v>3.246753246753234E-3</v>
      </c>
      <c r="P24" s="11">
        <v>3.5714285714285726E-3</v>
      </c>
      <c r="Q24" s="11">
        <v>6.7099567099566937E-3</v>
      </c>
      <c r="R24" s="11">
        <v>6.7099567099566937E-3</v>
      </c>
      <c r="S24" s="14"/>
      <c r="T24" s="14"/>
      <c r="U24" s="14"/>
      <c r="V24" s="18"/>
    </row>
    <row r="25" spans="1:22" x14ac:dyDescent="0.45">
      <c r="A25" s="2" t="s">
        <v>2</v>
      </c>
      <c r="B25" s="4">
        <v>2300000</v>
      </c>
      <c r="C25" s="5">
        <v>252500</v>
      </c>
      <c r="D25" s="5">
        <v>295000</v>
      </c>
      <c r="E25" s="5">
        <v>380000</v>
      </c>
      <c r="F25" s="5">
        <v>380000</v>
      </c>
      <c r="G25" s="7">
        <v>0.17499999999999999</v>
      </c>
      <c r="H25" s="7">
        <v>0.2</v>
      </c>
      <c r="I25" s="7">
        <v>0.3</v>
      </c>
      <c r="J25" s="7">
        <v>0.3</v>
      </c>
      <c r="K25" s="9">
        <v>0.10978260869565218</v>
      </c>
      <c r="L25" s="9">
        <v>0.1282608695652174</v>
      </c>
      <c r="M25" s="9">
        <v>0.16521739130434782</v>
      </c>
      <c r="N25" s="9">
        <v>0.16521739130434782</v>
      </c>
      <c r="O25" s="11">
        <v>2.9644268774703664E-3</v>
      </c>
      <c r="P25" s="11">
        <v>3.2608695652174002E-3</v>
      </c>
      <c r="Q25" s="11">
        <v>6.1264822134387276E-3</v>
      </c>
      <c r="R25" s="11">
        <v>6.1264822134387276E-3</v>
      </c>
      <c r="S25" s="14"/>
      <c r="T25" s="14"/>
      <c r="U25" s="14"/>
      <c r="V25" s="18"/>
    </row>
    <row r="26" spans="1:22" x14ac:dyDescent="0.45">
      <c r="A26" s="2" t="s">
        <v>2</v>
      </c>
      <c r="B26" s="4">
        <v>2400000</v>
      </c>
      <c r="C26" s="5">
        <v>270000</v>
      </c>
      <c r="D26" s="5">
        <v>315000</v>
      </c>
      <c r="E26" s="5">
        <v>410000</v>
      </c>
      <c r="F26" s="5">
        <v>410000</v>
      </c>
      <c r="G26" s="7">
        <v>0.17499999999999999</v>
      </c>
      <c r="H26" s="7">
        <v>0.2</v>
      </c>
      <c r="I26" s="7">
        <v>0.3</v>
      </c>
      <c r="J26" s="7">
        <v>0.3</v>
      </c>
      <c r="K26" s="9">
        <v>0.1125</v>
      </c>
      <c r="L26" s="9">
        <v>0.13125000000000001</v>
      </c>
      <c r="M26" s="9">
        <v>0.17083333333333334</v>
      </c>
      <c r="N26" s="9">
        <v>0.17083333333333334</v>
      </c>
      <c r="O26" s="11">
        <v>2.7173913043478243E-3</v>
      </c>
      <c r="P26" s="11">
        <v>2.9891304347826053E-3</v>
      </c>
      <c r="Q26" s="11">
        <v>5.6159420289855211E-3</v>
      </c>
      <c r="R26" s="11">
        <v>5.6159420289855211E-3</v>
      </c>
      <c r="S26" s="14"/>
      <c r="T26" s="14"/>
      <c r="U26" s="14"/>
      <c r="V26" s="18"/>
    </row>
    <row r="27" spans="1:22" x14ac:dyDescent="0.45">
      <c r="A27" s="2" t="s">
        <v>2</v>
      </c>
      <c r="B27" s="4">
        <v>2500000</v>
      </c>
      <c r="C27" s="5">
        <v>292500</v>
      </c>
      <c r="D27" s="5">
        <v>340000</v>
      </c>
      <c r="E27" s="5">
        <v>440000</v>
      </c>
      <c r="F27" s="5">
        <v>440000</v>
      </c>
      <c r="G27" s="7">
        <v>0.22500000000000001</v>
      </c>
      <c r="H27" s="7">
        <v>0.25</v>
      </c>
      <c r="I27" s="7">
        <v>0.3</v>
      </c>
      <c r="J27" s="7">
        <v>0.3</v>
      </c>
      <c r="K27" s="9">
        <v>0.11700000000000001</v>
      </c>
      <c r="L27" s="9">
        <v>0.13600000000000001</v>
      </c>
      <c r="M27" s="9">
        <v>0.17599999999999999</v>
      </c>
      <c r="N27" s="9">
        <v>0.17599999999999999</v>
      </c>
      <c r="O27" s="11">
        <v>4.500000000000004E-3</v>
      </c>
      <c r="P27" s="11">
        <v>4.7500000000000042E-3</v>
      </c>
      <c r="Q27" s="11">
        <v>5.1666666666666528E-3</v>
      </c>
      <c r="R27" s="11">
        <v>5.1666666666666528E-3</v>
      </c>
      <c r="S27" s="14"/>
      <c r="T27" s="14"/>
      <c r="U27" s="14"/>
      <c r="V27" s="18"/>
    </row>
    <row r="28" spans="1:22" x14ac:dyDescent="0.45">
      <c r="A28" s="2" t="s">
        <v>2</v>
      </c>
      <c r="B28" s="4">
        <v>2600000</v>
      </c>
      <c r="C28" s="5">
        <v>315000</v>
      </c>
      <c r="D28" s="5">
        <v>365000</v>
      </c>
      <c r="E28" s="5">
        <v>470000</v>
      </c>
      <c r="F28" s="5">
        <v>470000</v>
      </c>
      <c r="G28" s="7">
        <v>0.22500000000000001</v>
      </c>
      <c r="H28" s="7">
        <v>0.25</v>
      </c>
      <c r="I28" s="7">
        <v>0.3</v>
      </c>
      <c r="J28" s="7">
        <v>0.3</v>
      </c>
      <c r="K28" s="9">
        <v>0.12115384615384615</v>
      </c>
      <c r="L28" s="9">
        <v>0.14038461538461539</v>
      </c>
      <c r="M28" s="9">
        <v>0.18076923076923077</v>
      </c>
      <c r="N28" s="9">
        <v>0.18076923076923077</v>
      </c>
      <c r="O28" s="11">
        <v>4.1538461538461469E-3</v>
      </c>
      <c r="P28" s="11">
        <v>4.3846153846153757E-3</v>
      </c>
      <c r="Q28" s="11">
        <v>4.7692307692307756E-3</v>
      </c>
      <c r="R28" s="11">
        <v>4.7692307692307756E-3</v>
      </c>
      <c r="S28" s="14"/>
      <c r="T28" s="14"/>
      <c r="U28" s="14"/>
      <c r="V28" s="18"/>
    </row>
    <row r="29" spans="1:22" x14ac:dyDescent="0.45">
      <c r="A29" s="2" t="s">
        <v>2</v>
      </c>
      <c r="B29" s="4">
        <v>2700000</v>
      </c>
      <c r="C29" s="5">
        <v>337500</v>
      </c>
      <c r="D29" s="5">
        <v>390000</v>
      </c>
      <c r="E29" s="5">
        <v>500000</v>
      </c>
      <c r="F29" s="5">
        <v>500000</v>
      </c>
      <c r="G29" s="7">
        <v>0.22500000000000001</v>
      </c>
      <c r="H29" s="7">
        <v>0.25</v>
      </c>
      <c r="I29" s="7">
        <v>0.3</v>
      </c>
      <c r="J29" s="7">
        <v>0.3</v>
      </c>
      <c r="K29" s="9">
        <v>0.125</v>
      </c>
      <c r="L29" s="9">
        <v>0.14444444444444443</v>
      </c>
      <c r="M29" s="9">
        <v>0.18518518518518517</v>
      </c>
      <c r="N29" s="9">
        <v>0.18518518518518517</v>
      </c>
      <c r="O29" s="11">
        <v>3.8461538461538464E-3</v>
      </c>
      <c r="P29" s="11">
        <v>4.0598290598290454E-3</v>
      </c>
      <c r="Q29" s="11">
        <v>4.4159544159544095E-3</v>
      </c>
      <c r="R29" s="11">
        <v>4.4159544159544095E-3</v>
      </c>
      <c r="S29" s="14"/>
      <c r="T29" s="14"/>
      <c r="U29" s="14"/>
      <c r="V29" s="18"/>
    </row>
    <row r="30" spans="1:22" x14ac:dyDescent="0.45">
      <c r="A30" s="2" t="s">
        <v>2</v>
      </c>
      <c r="B30" s="4">
        <v>2800000</v>
      </c>
      <c r="C30" s="5">
        <v>360000</v>
      </c>
      <c r="D30" s="5">
        <v>415000</v>
      </c>
      <c r="E30" s="5">
        <v>530000</v>
      </c>
      <c r="F30" s="5">
        <v>530000</v>
      </c>
      <c r="G30" s="7">
        <v>0.22500000000000001</v>
      </c>
      <c r="H30" s="7">
        <v>0.25</v>
      </c>
      <c r="I30" s="7">
        <v>0.3</v>
      </c>
      <c r="J30" s="7">
        <v>0.3</v>
      </c>
      <c r="K30" s="9">
        <v>0.12857142857142856</v>
      </c>
      <c r="L30" s="9">
        <v>0.14821428571428572</v>
      </c>
      <c r="M30" s="9">
        <v>0.18928571428571428</v>
      </c>
      <c r="N30" s="9">
        <v>0.18928571428571428</v>
      </c>
      <c r="O30" s="11">
        <v>3.5714285714285587E-3</v>
      </c>
      <c r="P30" s="11">
        <v>3.7698412698412842E-3</v>
      </c>
      <c r="Q30" s="11">
        <v>4.1005291005291045E-3</v>
      </c>
      <c r="R30" s="11">
        <v>4.1005291005291045E-3</v>
      </c>
      <c r="S30" s="14"/>
      <c r="T30" s="14"/>
      <c r="U30" s="14"/>
      <c r="V30" s="18"/>
    </row>
    <row r="31" spans="1:22" x14ac:dyDescent="0.45">
      <c r="A31" s="2" t="s">
        <v>2</v>
      </c>
      <c r="B31" s="4">
        <v>2900000</v>
      </c>
      <c r="C31" s="5">
        <v>382500</v>
      </c>
      <c r="D31" s="5">
        <v>440000</v>
      </c>
      <c r="E31" s="5">
        <v>560000</v>
      </c>
      <c r="F31" s="5">
        <v>560000</v>
      </c>
      <c r="G31" s="7">
        <v>0.22500000000000001</v>
      </c>
      <c r="H31" s="7">
        <v>0.25</v>
      </c>
      <c r="I31" s="7">
        <v>0.3</v>
      </c>
      <c r="J31" s="7">
        <v>0.3</v>
      </c>
      <c r="K31" s="9">
        <v>0.13189655172413794</v>
      </c>
      <c r="L31" s="9">
        <v>0.15172413793103448</v>
      </c>
      <c r="M31" s="9">
        <v>0.19310344827586207</v>
      </c>
      <c r="N31" s="9">
        <v>0.19310344827586207</v>
      </c>
      <c r="O31" s="11">
        <v>3.3251231527093861E-3</v>
      </c>
      <c r="P31" s="11">
        <v>3.5098522167487656E-3</v>
      </c>
      <c r="Q31" s="11">
        <v>3.8177339901477869E-3</v>
      </c>
      <c r="R31" s="11">
        <v>3.8177339901477869E-3</v>
      </c>
      <c r="S31" s="14"/>
      <c r="T31" s="14"/>
      <c r="U31" s="14"/>
      <c r="V31" s="18"/>
    </row>
    <row r="32" spans="1:22" x14ac:dyDescent="0.45">
      <c r="A32" s="2" t="s">
        <v>2</v>
      </c>
      <c r="B32" s="4">
        <v>3000000</v>
      </c>
      <c r="C32" s="5">
        <v>405000</v>
      </c>
      <c r="D32" s="5">
        <v>465000</v>
      </c>
      <c r="E32" s="5">
        <v>590000</v>
      </c>
      <c r="F32" s="5">
        <v>590000</v>
      </c>
      <c r="G32" s="7">
        <v>0.22500000000000001</v>
      </c>
      <c r="H32" s="7">
        <v>0.25</v>
      </c>
      <c r="I32" s="7">
        <v>0.3</v>
      </c>
      <c r="J32" s="7">
        <v>0.3</v>
      </c>
      <c r="K32" s="9">
        <v>0.13500000000000001</v>
      </c>
      <c r="L32" s="9">
        <v>0.155</v>
      </c>
      <c r="M32" s="9">
        <v>0.19666666666666666</v>
      </c>
      <c r="N32" s="9">
        <v>0.19666666666666666</v>
      </c>
      <c r="O32" s="11">
        <v>3.1034482758620641E-3</v>
      </c>
      <c r="P32" s="11">
        <v>3.2758620689655182E-3</v>
      </c>
      <c r="Q32" s="11">
        <v>3.56321839080459E-3</v>
      </c>
      <c r="R32" s="11">
        <v>3.56321839080459E-3</v>
      </c>
      <c r="S32" s="14"/>
      <c r="T32" s="14"/>
      <c r="U32" s="14"/>
      <c r="V32" s="18"/>
    </row>
    <row r="33" spans="1:22" x14ac:dyDescent="0.45">
      <c r="A33" s="2" t="s">
        <v>2</v>
      </c>
      <c r="B33" s="4">
        <v>3100000</v>
      </c>
      <c r="C33" s="5">
        <v>432500</v>
      </c>
      <c r="D33" s="5">
        <v>495000</v>
      </c>
      <c r="E33" s="5">
        <v>620000</v>
      </c>
      <c r="F33" s="5">
        <v>620000</v>
      </c>
      <c r="G33" s="7">
        <v>0.27500000000000002</v>
      </c>
      <c r="H33" s="7">
        <v>0.3</v>
      </c>
      <c r="I33" s="7">
        <v>0.3</v>
      </c>
      <c r="J33" s="7">
        <v>0.3</v>
      </c>
      <c r="K33" s="9">
        <v>0.13951612903225807</v>
      </c>
      <c r="L33" s="9">
        <v>0.1596774193548387</v>
      </c>
      <c r="M33" s="9">
        <v>0.2</v>
      </c>
      <c r="N33" s="9">
        <v>0.2</v>
      </c>
      <c r="O33" s="11">
        <v>4.5161290322580649E-3</v>
      </c>
      <c r="P33" s="11">
        <v>4.6774193548387022E-3</v>
      </c>
      <c r="Q33" s="11">
        <v>3.3333333333333548E-3</v>
      </c>
      <c r="R33" s="11">
        <v>3.3333333333333548E-3</v>
      </c>
      <c r="S33" s="14"/>
      <c r="T33" s="14"/>
      <c r="U33" s="14"/>
      <c r="V33" s="18"/>
    </row>
    <row r="34" spans="1:22" x14ac:dyDescent="0.45">
      <c r="A34" s="2" t="s">
        <v>2</v>
      </c>
      <c r="B34" s="4">
        <v>3200000</v>
      </c>
      <c r="C34" s="5">
        <v>460000</v>
      </c>
      <c r="D34" s="5">
        <v>525000</v>
      </c>
      <c r="E34" s="5">
        <v>650000</v>
      </c>
      <c r="F34" s="5">
        <v>650000</v>
      </c>
      <c r="G34" s="7">
        <v>0.27500000000000002</v>
      </c>
      <c r="H34" s="7">
        <v>0.3</v>
      </c>
      <c r="I34" s="7">
        <v>0.3</v>
      </c>
      <c r="J34" s="7">
        <v>0.3</v>
      </c>
      <c r="K34" s="9">
        <v>0.14374999999999999</v>
      </c>
      <c r="L34" s="9">
        <v>0.1640625</v>
      </c>
      <c r="M34" s="9">
        <v>0.203125</v>
      </c>
      <c r="N34" s="9">
        <v>0.203125</v>
      </c>
      <c r="O34" s="11">
        <v>4.2338709677419151E-3</v>
      </c>
      <c r="P34" s="11">
        <v>4.3850806451612989E-3</v>
      </c>
      <c r="Q34" s="11">
        <v>3.1249999999999889E-3</v>
      </c>
      <c r="R34" s="11">
        <v>3.1249999999999889E-3</v>
      </c>
      <c r="S34" s="14"/>
      <c r="T34" s="14"/>
      <c r="U34" s="14"/>
      <c r="V34" s="18"/>
    </row>
    <row r="35" spans="1:22" x14ac:dyDescent="0.45">
      <c r="A35" s="2" t="s">
        <v>2</v>
      </c>
      <c r="B35" s="4">
        <v>3300000</v>
      </c>
      <c r="C35" s="5">
        <v>487500</v>
      </c>
      <c r="D35" s="5">
        <v>555000</v>
      </c>
      <c r="E35" s="5">
        <v>690000</v>
      </c>
      <c r="F35" s="5">
        <v>690000</v>
      </c>
      <c r="G35" s="7">
        <v>0.27500000000000002</v>
      </c>
      <c r="H35" s="7">
        <v>0.3</v>
      </c>
      <c r="I35" s="7">
        <v>0.4</v>
      </c>
      <c r="J35" s="7">
        <v>0.4</v>
      </c>
      <c r="K35" s="9">
        <v>0.14772727272727273</v>
      </c>
      <c r="L35" s="9">
        <v>0.16818181818181818</v>
      </c>
      <c r="M35" s="9">
        <v>0.20909090909090908</v>
      </c>
      <c r="N35" s="9">
        <v>0.20909090909090908</v>
      </c>
      <c r="O35" s="11">
        <v>3.9772727272727459E-3</v>
      </c>
      <c r="P35" s="11">
        <v>4.1193181818181823E-3</v>
      </c>
      <c r="Q35" s="11">
        <v>5.9659090909090773E-3</v>
      </c>
      <c r="R35" s="11">
        <v>5.9659090909090773E-3</v>
      </c>
      <c r="S35" s="14"/>
      <c r="T35" s="14"/>
      <c r="U35" s="14"/>
      <c r="V35" s="18"/>
    </row>
    <row r="36" spans="1:22" x14ac:dyDescent="0.45">
      <c r="A36" s="2" t="s">
        <v>2</v>
      </c>
      <c r="B36" s="4">
        <v>3400000</v>
      </c>
      <c r="C36" s="5">
        <v>515000</v>
      </c>
      <c r="D36" s="5">
        <v>585000</v>
      </c>
      <c r="E36" s="5">
        <v>730000</v>
      </c>
      <c r="F36" s="5">
        <v>730000</v>
      </c>
      <c r="G36" s="7">
        <v>0.27500000000000002</v>
      </c>
      <c r="H36" s="7">
        <v>0.3</v>
      </c>
      <c r="I36" s="7">
        <v>0.4</v>
      </c>
      <c r="J36" s="7">
        <v>0.4</v>
      </c>
      <c r="K36" s="9">
        <v>0.15147058823529411</v>
      </c>
      <c r="L36" s="9">
        <v>0.17205882352941176</v>
      </c>
      <c r="M36" s="9">
        <v>0.21470588235294116</v>
      </c>
      <c r="N36" s="9">
        <v>0.21470588235294116</v>
      </c>
      <c r="O36" s="11">
        <v>3.743315508021372E-3</v>
      </c>
      <c r="P36" s="11">
        <v>3.8770053475935817E-3</v>
      </c>
      <c r="Q36" s="11">
        <v>5.6149732620320858E-3</v>
      </c>
      <c r="R36" s="11">
        <v>5.6149732620320858E-3</v>
      </c>
      <c r="S36" s="14"/>
      <c r="T36" s="14"/>
      <c r="U36" s="14"/>
      <c r="V36" s="18"/>
    </row>
    <row r="37" spans="1:22" x14ac:dyDescent="0.45">
      <c r="A37" s="2" t="s">
        <v>2</v>
      </c>
      <c r="B37" s="4">
        <v>3500000</v>
      </c>
      <c r="C37" s="5">
        <v>542500</v>
      </c>
      <c r="D37" s="5">
        <v>615000</v>
      </c>
      <c r="E37" s="5">
        <v>770000</v>
      </c>
      <c r="F37" s="5">
        <v>770000</v>
      </c>
      <c r="G37" s="7">
        <v>0.27500000000000002</v>
      </c>
      <c r="H37" s="7">
        <v>0.3</v>
      </c>
      <c r="I37" s="7">
        <v>0.4</v>
      </c>
      <c r="J37" s="7">
        <v>0.4</v>
      </c>
      <c r="K37" s="9">
        <v>0.155</v>
      </c>
      <c r="L37" s="9">
        <v>0.17571428571428571</v>
      </c>
      <c r="M37" s="9">
        <v>0.22</v>
      </c>
      <c r="N37" s="9">
        <v>0.22</v>
      </c>
      <c r="O37" s="11">
        <v>3.529411764705892E-3</v>
      </c>
      <c r="P37" s="11">
        <v>3.6554621848739477E-3</v>
      </c>
      <c r="Q37" s="11">
        <v>5.294117647058838E-3</v>
      </c>
      <c r="R37" s="11">
        <v>5.294117647058838E-3</v>
      </c>
      <c r="S37" s="14"/>
      <c r="T37" s="14"/>
      <c r="U37" s="14"/>
      <c r="V37" s="18"/>
    </row>
    <row r="38" spans="1:22" x14ac:dyDescent="0.45">
      <c r="A38" s="2" t="s">
        <v>2</v>
      </c>
      <c r="B38" s="4">
        <v>3600000</v>
      </c>
      <c r="C38" s="5">
        <v>570000</v>
      </c>
      <c r="D38" s="5">
        <v>645000</v>
      </c>
      <c r="E38" s="5">
        <v>810000</v>
      </c>
      <c r="F38" s="5">
        <v>810000</v>
      </c>
      <c r="G38" s="7">
        <v>0.27500000000000002</v>
      </c>
      <c r="H38" s="7">
        <v>0.3</v>
      </c>
      <c r="I38" s="7">
        <v>0.4</v>
      </c>
      <c r="J38" s="7">
        <v>0.4</v>
      </c>
      <c r="K38" s="9">
        <v>0.15833333333333333</v>
      </c>
      <c r="L38" s="9">
        <v>0.17916666666666667</v>
      </c>
      <c r="M38" s="9">
        <v>0.22500000000000001</v>
      </c>
      <c r="N38" s="9">
        <v>0.22500000000000001</v>
      </c>
      <c r="O38" s="11">
        <v>3.333333333333327E-3</v>
      </c>
      <c r="P38" s="11">
        <v>3.4523809523809568E-3</v>
      </c>
      <c r="Q38" s="11">
        <v>5.0000000000000044E-3</v>
      </c>
      <c r="R38" s="11">
        <v>5.0000000000000044E-3</v>
      </c>
      <c r="S38" s="14"/>
      <c r="T38" s="14"/>
      <c r="U38" s="14"/>
      <c r="V38" s="18"/>
    </row>
    <row r="39" spans="1:22" x14ac:dyDescent="0.45">
      <c r="A39" s="2" t="s">
        <v>2</v>
      </c>
      <c r="B39" s="4">
        <v>3700000</v>
      </c>
      <c r="C39" s="5">
        <v>597500</v>
      </c>
      <c r="D39" s="5">
        <v>675000</v>
      </c>
      <c r="E39" s="5">
        <v>850000</v>
      </c>
      <c r="F39" s="5">
        <v>850000</v>
      </c>
      <c r="G39" s="7">
        <v>0.27500000000000002</v>
      </c>
      <c r="H39" s="7">
        <v>0.3</v>
      </c>
      <c r="I39" s="7">
        <v>0.4</v>
      </c>
      <c r="J39" s="7">
        <v>0.4</v>
      </c>
      <c r="K39" s="9">
        <v>0.16148648648648647</v>
      </c>
      <c r="L39" s="9">
        <v>0.18243243243243243</v>
      </c>
      <c r="M39" s="9">
        <v>0.22972972972972974</v>
      </c>
      <c r="N39" s="9">
        <v>0.22972972972972974</v>
      </c>
      <c r="O39" s="11">
        <v>3.1531531531531487E-3</v>
      </c>
      <c r="P39" s="11">
        <v>3.2657657657657602E-3</v>
      </c>
      <c r="Q39" s="11">
        <v>4.7297297297297369E-3</v>
      </c>
      <c r="R39" s="11">
        <v>4.7297297297297369E-3</v>
      </c>
      <c r="S39" s="14"/>
      <c r="T39" s="14"/>
      <c r="U39" s="14"/>
      <c r="V39" s="18"/>
    </row>
    <row r="40" spans="1:22" x14ac:dyDescent="0.45">
      <c r="A40" s="2" t="s">
        <v>2</v>
      </c>
      <c r="B40" s="4">
        <v>3800000</v>
      </c>
      <c r="C40" s="5">
        <v>625000</v>
      </c>
      <c r="D40" s="5">
        <v>705000</v>
      </c>
      <c r="E40" s="5">
        <v>890000</v>
      </c>
      <c r="F40" s="5">
        <v>890000</v>
      </c>
      <c r="G40" s="7">
        <v>0.27500000000000002</v>
      </c>
      <c r="H40" s="7">
        <v>0.3</v>
      </c>
      <c r="I40" s="7">
        <v>0.4</v>
      </c>
      <c r="J40" s="7">
        <v>0.4</v>
      </c>
      <c r="K40" s="9">
        <v>0.16447368421052633</v>
      </c>
      <c r="L40" s="9">
        <v>0.18552631578947368</v>
      </c>
      <c r="M40" s="9">
        <v>0.23421052631578948</v>
      </c>
      <c r="N40" s="9">
        <v>0.23421052631578948</v>
      </c>
      <c r="O40" s="11">
        <v>2.9871977240398528E-3</v>
      </c>
      <c r="P40" s="11">
        <v>3.0938833570412494E-3</v>
      </c>
      <c r="Q40" s="11">
        <v>4.4807965860597376E-3</v>
      </c>
      <c r="R40" s="11">
        <v>4.4807965860597376E-3</v>
      </c>
      <c r="S40" s="14"/>
      <c r="T40" s="14"/>
      <c r="U40" s="14"/>
      <c r="V40" s="18"/>
    </row>
    <row r="41" spans="1:22" x14ac:dyDescent="0.45">
      <c r="A41" s="2" t="s">
        <v>2</v>
      </c>
      <c r="B41" s="4">
        <v>3900000</v>
      </c>
      <c r="C41" s="5">
        <v>652500</v>
      </c>
      <c r="D41" s="5">
        <v>735000</v>
      </c>
      <c r="E41" s="5">
        <v>930000</v>
      </c>
      <c r="F41" s="5">
        <v>930000</v>
      </c>
      <c r="G41" s="7">
        <v>0.27500000000000002</v>
      </c>
      <c r="H41" s="7">
        <v>0.3</v>
      </c>
      <c r="I41" s="7">
        <v>0.4</v>
      </c>
      <c r="J41" s="7">
        <v>0.4</v>
      </c>
      <c r="K41" s="9">
        <v>0.1673076923076923</v>
      </c>
      <c r="L41" s="9">
        <v>0.18846153846153846</v>
      </c>
      <c r="M41" s="9">
        <v>0.23846153846153847</v>
      </c>
      <c r="N41" s="9">
        <v>0.23846153846153847</v>
      </c>
      <c r="O41" s="11">
        <v>2.8340080971659687E-3</v>
      </c>
      <c r="P41" s="11">
        <v>2.93522267206478E-3</v>
      </c>
      <c r="Q41" s="11">
        <v>4.2510121457489947E-3</v>
      </c>
      <c r="R41" s="11">
        <v>4.2510121457489947E-3</v>
      </c>
      <c r="S41" s="14"/>
      <c r="T41" s="14"/>
      <c r="U41" s="14"/>
      <c r="V41" s="18"/>
    </row>
    <row r="42" spans="1:22" x14ac:dyDescent="0.45">
      <c r="A42" s="2" t="s">
        <v>2</v>
      </c>
      <c r="B42" s="4">
        <v>4000000</v>
      </c>
      <c r="C42" s="5">
        <v>680000</v>
      </c>
      <c r="D42" s="5">
        <v>765000</v>
      </c>
      <c r="E42" s="5">
        <v>970000</v>
      </c>
      <c r="F42" s="5">
        <v>970000</v>
      </c>
      <c r="G42" s="7">
        <v>0.27500000000000002</v>
      </c>
      <c r="H42" s="7">
        <v>0.3</v>
      </c>
      <c r="I42" s="7">
        <v>0.4</v>
      </c>
      <c r="J42" s="7">
        <v>0.4</v>
      </c>
      <c r="K42" s="9">
        <v>0.17</v>
      </c>
      <c r="L42" s="9">
        <v>0.19125</v>
      </c>
      <c r="M42" s="9">
        <v>0.24249999999999999</v>
      </c>
      <c r="N42" s="9">
        <v>0.24249999999999999</v>
      </c>
      <c r="O42" s="11">
        <v>2.692307692307716E-3</v>
      </c>
      <c r="P42" s="11">
        <v>2.7884615384615452E-3</v>
      </c>
      <c r="Q42" s="11">
        <v>4.0384615384615186E-3</v>
      </c>
      <c r="R42" s="11">
        <v>4.0384615384615186E-3</v>
      </c>
      <c r="S42" s="14"/>
      <c r="T42" s="14"/>
      <c r="U42" s="14"/>
      <c r="V42" s="18"/>
    </row>
    <row r="43" spans="1:22" x14ac:dyDescent="0.45">
      <c r="A43" s="2" t="s">
        <v>2</v>
      </c>
      <c r="B43" s="4">
        <v>4100000</v>
      </c>
      <c r="C43" s="5">
        <v>712500</v>
      </c>
      <c r="D43" s="5">
        <v>950000</v>
      </c>
      <c r="E43" s="5">
        <v>1010000</v>
      </c>
      <c r="F43" s="5">
        <v>1010000</v>
      </c>
      <c r="G43" s="7">
        <v>0.32500000000000001</v>
      </c>
      <c r="H43" s="7">
        <v>0.35</v>
      </c>
      <c r="I43" s="7">
        <v>0.4</v>
      </c>
      <c r="J43" s="7">
        <v>0.4</v>
      </c>
      <c r="K43" s="9">
        <v>0.17378048780487804</v>
      </c>
      <c r="L43" s="9">
        <v>0.23170731707317074</v>
      </c>
      <c r="M43" s="9">
        <v>0.24634146341463414</v>
      </c>
      <c r="N43" s="9">
        <v>0.24634146341463414</v>
      </c>
      <c r="O43" s="11">
        <v>3.7804878048780244E-3</v>
      </c>
      <c r="P43" s="11">
        <v>4.045731707317074E-2</v>
      </c>
      <c r="Q43" s="11">
        <v>3.8414634146341498E-3</v>
      </c>
      <c r="R43" s="11">
        <v>3.8414634146341498E-3</v>
      </c>
      <c r="S43" s="14"/>
      <c r="T43" s="14"/>
      <c r="U43" s="14"/>
      <c r="V43" s="18"/>
    </row>
    <row r="44" spans="1:22" x14ac:dyDescent="0.45">
      <c r="A44" s="2" t="s">
        <v>2</v>
      </c>
      <c r="B44" s="4">
        <v>4200000</v>
      </c>
      <c r="C44" s="5">
        <v>745000</v>
      </c>
      <c r="D44" s="5">
        <v>985000</v>
      </c>
      <c r="E44" s="5">
        <v>1050000</v>
      </c>
      <c r="F44" s="5">
        <v>1050000</v>
      </c>
      <c r="G44" s="7">
        <v>0.32500000000000001</v>
      </c>
      <c r="H44" s="7">
        <v>0.35</v>
      </c>
      <c r="I44" s="7">
        <v>0.4</v>
      </c>
      <c r="J44" s="7">
        <v>0.4</v>
      </c>
      <c r="K44" s="9">
        <v>0.17738095238095239</v>
      </c>
      <c r="L44" s="9">
        <v>0.23452380952380952</v>
      </c>
      <c r="M44" s="9">
        <v>0.25</v>
      </c>
      <c r="N44" s="9">
        <v>0.25</v>
      </c>
      <c r="O44" s="11">
        <v>3.6004645760743526E-3</v>
      </c>
      <c r="P44" s="11">
        <v>2.8164924506387801E-3</v>
      </c>
      <c r="Q44" s="11">
        <v>3.6585365853658569E-3</v>
      </c>
      <c r="R44" s="11">
        <v>3.6585365853658569E-3</v>
      </c>
      <c r="S44" s="14"/>
      <c r="T44" s="14"/>
      <c r="U44" s="14"/>
      <c r="V44" s="18"/>
    </row>
    <row r="45" spans="1:22" x14ac:dyDescent="0.45">
      <c r="A45" s="2" t="s">
        <v>2</v>
      </c>
      <c r="B45" s="4">
        <v>4300000</v>
      </c>
      <c r="C45" s="5">
        <v>777500</v>
      </c>
      <c r="D45" s="5">
        <v>1020000</v>
      </c>
      <c r="E45" s="5">
        <v>1090000</v>
      </c>
      <c r="F45" s="5">
        <v>1090000</v>
      </c>
      <c r="G45" s="7">
        <v>0.32500000000000001</v>
      </c>
      <c r="H45" s="7">
        <v>0.35</v>
      </c>
      <c r="I45" s="7">
        <v>0.4</v>
      </c>
      <c r="J45" s="7">
        <v>0.4</v>
      </c>
      <c r="K45" s="9">
        <v>0.18081395348837209</v>
      </c>
      <c r="L45" s="9">
        <v>0.23720930232558141</v>
      </c>
      <c r="M45" s="9">
        <v>0.25348837209302327</v>
      </c>
      <c r="N45" s="9">
        <v>0.25348837209302327</v>
      </c>
      <c r="O45" s="11">
        <v>3.4330011074197031E-3</v>
      </c>
      <c r="P45" s="11">
        <v>2.6854928017718827E-3</v>
      </c>
      <c r="Q45" s="11">
        <v>3.4883720930232731E-3</v>
      </c>
      <c r="R45" s="11">
        <v>3.4883720930232731E-3</v>
      </c>
      <c r="S45" s="14"/>
      <c r="T45" s="14"/>
      <c r="U45" s="14"/>
      <c r="V45" s="18"/>
    </row>
    <row r="46" spans="1:22" x14ac:dyDescent="0.45">
      <c r="A46" s="2" t="s">
        <v>2</v>
      </c>
      <c r="B46" s="4">
        <v>4400000</v>
      </c>
      <c r="C46" s="5">
        <v>810000</v>
      </c>
      <c r="D46" s="5">
        <v>1055000</v>
      </c>
      <c r="E46" s="5">
        <v>1130000</v>
      </c>
      <c r="F46" s="5">
        <v>1130000</v>
      </c>
      <c r="G46" s="7">
        <v>0.32500000000000001</v>
      </c>
      <c r="H46" s="7">
        <v>0.35</v>
      </c>
      <c r="I46" s="7">
        <v>0.4</v>
      </c>
      <c r="J46" s="7">
        <v>0.4</v>
      </c>
      <c r="K46" s="9">
        <v>0.18409090909090908</v>
      </c>
      <c r="L46" s="9">
        <v>0.23977272727272728</v>
      </c>
      <c r="M46" s="9">
        <v>0.25681818181818183</v>
      </c>
      <c r="N46" s="9">
        <v>0.25681818181818183</v>
      </c>
      <c r="O46" s="11">
        <v>3.2769556025369906E-3</v>
      </c>
      <c r="P46" s="11">
        <v>2.5634249471458703E-3</v>
      </c>
      <c r="Q46" s="11">
        <v>3.3298097251585612E-3</v>
      </c>
      <c r="R46" s="11">
        <v>3.3298097251585612E-3</v>
      </c>
      <c r="S46" s="14"/>
      <c r="T46" s="14"/>
      <c r="U46" s="14"/>
      <c r="V46" s="18"/>
    </row>
    <row r="47" spans="1:22" x14ac:dyDescent="0.45">
      <c r="A47" s="2" t="s">
        <v>2</v>
      </c>
      <c r="B47" s="4">
        <v>4500000</v>
      </c>
      <c r="C47" s="5">
        <v>842500</v>
      </c>
      <c r="D47" s="5">
        <v>1090000</v>
      </c>
      <c r="E47" s="5">
        <v>1170000</v>
      </c>
      <c r="F47" s="5">
        <v>1170000</v>
      </c>
      <c r="G47" s="7">
        <v>0.32500000000000001</v>
      </c>
      <c r="H47" s="7">
        <v>0.35</v>
      </c>
      <c r="I47" s="7">
        <v>0.4</v>
      </c>
      <c r="J47" s="7">
        <v>0.4</v>
      </c>
      <c r="K47" s="9">
        <v>0.18722222222222223</v>
      </c>
      <c r="L47" s="9">
        <v>0.24222222222222223</v>
      </c>
      <c r="M47" s="9">
        <v>0.26</v>
      </c>
      <c r="N47" s="9">
        <v>0.26</v>
      </c>
      <c r="O47" s="11">
        <v>3.1313131313131515E-3</v>
      </c>
      <c r="P47" s="11">
        <v>2.4494949494949514E-3</v>
      </c>
      <c r="Q47" s="11">
        <v>3.1818181818181746E-3</v>
      </c>
      <c r="R47" s="11">
        <v>3.1818181818181746E-3</v>
      </c>
      <c r="S47" s="14"/>
      <c r="T47" s="14"/>
      <c r="U47" s="14"/>
      <c r="V47" s="18"/>
    </row>
    <row r="48" spans="1:22" x14ac:dyDescent="0.45">
      <c r="A48" s="2" t="s">
        <v>2</v>
      </c>
      <c r="B48" s="4">
        <v>4600000</v>
      </c>
      <c r="C48" s="5">
        <v>875000</v>
      </c>
      <c r="D48" s="5">
        <v>1125000</v>
      </c>
      <c r="E48" s="5">
        <v>1210000</v>
      </c>
      <c r="F48" s="5">
        <v>1210000</v>
      </c>
      <c r="G48" s="7">
        <v>0.32500000000000001</v>
      </c>
      <c r="H48" s="7">
        <v>0.35</v>
      </c>
      <c r="I48" s="7">
        <v>0.4</v>
      </c>
      <c r="J48" s="7">
        <v>0.4</v>
      </c>
      <c r="K48" s="9">
        <v>0.19021739130434784</v>
      </c>
      <c r="L48" s="9">
        <v>0.24456521739130435</v>
      </c>
      <c r="M48" s="9">
        <v>0.26304347826086955</v>
      </c>
      <c r="N48" s="9">
        <v>0.26304347826086955</v>
      </c>
      <c r="O48" s="11">
        <v>2.9951690821256038E-3</v>
      </c>
      <c r="P48" s="11">
        <v>2.3429951690821238E-3</v>
      </c>
      <c r="Q48" s="11">
        <v>3.0434782608695365E-3</v>
      </c>
      <c r="R48" s="11">
        <v>3.0434782608695365E-3</v>
      </c>
      <c r="S48" s="14"/>
      <c r="T48" s="14"/>
      <c r="U48" s="14"/>
      <c r="V48" s="18"/>
    </row>
    <row r="49" spans="1:22" x14ac:dyDescent="0.45">
      <c r="A49" s="2" t="s">
        <v>2</v>
      </c>
      <c r="B49" s="4">
        <v>4700000</v>
      </c>
      <c r="C49" s="5">
        <v>907500</v>
      </c>
      <c r="D49" s="5">
        <v>1160000</v>
      </c>
      <c r="E49" s="5">
        <v>1250000</v>
      </c>
      <c r="F49" s="5">
        <v>1250000</v>
      </c>
      <c r="G49" s="7">
        <v>0.32500000000000001</v>
      </c>
      <c r="H49" s="7">
        <v>0.35</v>
      </c>
      <c r="I49" s="7">
        <v>0.4</v>
      </c>
      <c r="J49" s="7">
        <v>0.4</v>
      </c>
      <c r="K49" s="9">
        <v>0.19308510638297871</v>
      </c>
      <c r="L49" s="9">
        <v>0.24680851063829787</v>
      </c>
      <c r="M49" s="9">
        <v>0.26595744680851063</v>
      </c>
      <c r="N49" s="9">
        <v>0.26595744680851063</v>
      </c>
      <c r="O49" s="11">
        <v>2.8677150786308725E-3</v>
      </c>
      <c r="P49" s="11">
        <v>2.2432932469935163E-3</v>
      </c>
      <c r="Q49" s="11">
        <v>2.9139685476410881E-3</v>
      </c>
      <c r="R49" s="11">
        <v>2.9139685476410881E-3</v>
      </c>
      <c r="S49" s="14"/>
      <c r="T49" s="14"/>
      <c r="U49" s="14"/>
      <c r="V49" s="18"/>
    </row>
    <row r="50" spans="1:22" x14ac:dyDescent="0.45">
      <c r="A50" s="2" t="s">
        <v>2</v>
      </c>
      <c r="B50" s="4">
        <v>4800000</v>
      </c>
      <c r="C50" s="5">
        <v>940000</v>
      </c>
      <c r="D50" s="5">
        <v>1195000</v>
      </c>
      <c r="E50" s="5">
        <v>1290000</v>
      </c>
      <c r="F50" s="5">
        <v>1290000</v>
      </c>
      <c r="G50" s="7">
        <v>0.32500000000000001</v>
      </c>
      <c r="H50" s="7">
        <v>0.35</v>
      </c>
      <c r="I50" s="7">
        <v>0.4</v>
      </c>
      <c r="J50" s="7">
        <v>0.4</v>
      </c>
      <c r="K50" s="9">
        <v>0.19583333333333333</v>
      </c>
      <c r="L50" s="9">
        <v>0.24895833333333334</v>
      </c>
      <c r="M50" s="9">
        <v>0.26874999999999999</v>
      </c>
      <c r="N50" s="9">
        <v>0.26874999999999999</v>
      </c>
      <c r="O50" s="11">
        <v>2.7482269503546208E-3</v>
      </c>
      <c r="P50" s="11">
        <v>2.1498226950354693E-3</v>
      </c>
      <c r="Q50" s="11">
        <v>2.7925531914893553E-3</v>
      </c>
      <c r="R50" s="11">
        <v>2.7925531914893553E-3</v>
      </c>
      <c r="S50" s="14"/>
      <c r="T50" s="14"/>
      <c r="U50" s="14"/>
      <c r="V50" s="18"/>
    </row>
    <row r="51" spans="1:22" x14ac:dyDescent="0.45">
      <c r="A51" s="2" t="s">
        <v>2</v>
      </c>
      <c r="B51" s="4">
        <v>4900000</v>
      </c>
      <c r="C51" s="5">
        <v>972500</v>
      </c>
      <c r="D51" s="5">
        <v>1230000</v>
      </c>
      <c r="E51" s="5">
        <v>1330000</v>
      </c>
      <c r="F51" s="5">
        <v>1330000</v>
      </c>
      <c r="G51" s="7">
        <v>0.32500000000000001</v>
      </c>
      <c r="H51" s="7">
        <v>0.35</v>
      </c>
      <c r="I51" s="7">
        <v>0.4</v>
      </c>
      <c r="J51" s="7">
        <v>0.4</v>
      </c>
      <c r="K51" s="9">
        <v>0.19846938775510203</v>
      </c>
      <c r="L51" s="9">
        <v>0.25102040816326532</v>
      </c>
      <c r="M51" s="9">
        <v>0.27142857142857141</v>
      </c>
      <c r="N51" s="9">
        <v>0.27142857142857141</v>
      </c>
      <c r="O51" s="11">
        <v>2.6360544217687021E-3</v>
      </c>
      <c r="P51" s="11">
        <v>2.0620748299319813E-3</v>
      </c>
      <c r="Q51" s="11">
        <v>2.6785714285714191E-3</v>
      </c>
      <c r="R51" s="11">
        <v>2.6785714285714191E-3</v>
      </c>
      <c r="S51" s="14"/>
      <c r="T51" s="14"/>
      <c r="U51" s="14"/>
      <c r="V51" s="18"/>
    </row>
    <row r="52" spans="1:22" x14ac:dyDescent="0.45">
      <c r="A52" s="2" t="s">
        <v>2</v>
      </c>
      <c r="B52" s="4">
        <v>5000000</v>
      </c>
      <c r="C52" s="5">
        <v>1005000</v>
      </c>
      <c r="D52" s="5">
        <v>1265000</v>
      </c>
      <c r="E52" s="5">
        <v>1370000</v>
      </c>
      <c r="F52" s="5">
        <v>1370000</v>
      </c>
      <c r="G52" s="7">
        <v>0.32500000000000001</v>
      </c>
      <c r="H52" s="7">
        <v>0.35</v>
      </c>
      <c r="I52" s="7">
        <v>0.4</v>
      </c>
      <c r="J52" s="7">
        <v>0.4</v>
      </c>
      <c r="K52" s="9">
        <v>0.20100000000000001</v>
      </c>
      <c r="L52" s="9">
        <v>0.253</v>
      </c>
      <c r="M52" s="9">
        <v>0.27400000000000002</v>
      </c>
      <c r="N52" s="9">
        <v>0.27400000000000002</v>
      </c>
      <c r="O52" s="11">
        <v>2.5306122448979784E-3</v>
      </c>
      <c r="P52" s="11">
        <v>1.9795918367346843E-3</v>
      </c>
      <c r="Q52" s="11">
        <v>2.5714285714286134E-3</v>
      </c>
      <c r="R52" s="11">
        <v>2.5714285714286134E-3</v>
      </c>
      <c r="S52" s="14"/>
      <c r="T52" s="14"/>
      <c r="U52" s="14"/>
      <c r="V52" s="18"/>
    </row>
    <row r="53" spans="1:22" x14ac:dyDescent="0.45">
      <c r="A53" s="2" t="s">
        <v>2</v>
      </c>
      <c r="B53" s="4">
        <v>5100000</v>
      </c>
      <c r="C53" s="5">
        <v>1037500</v>
      </c>
      <c r="D53" s="5">
        <v>1300000</v>
      </c>
      <c r="E53" s="5">
        <v>1410000</v>
      </c>
      <c r="F53" s="5">
        <v>1410000</v>
      </c>
      <c r="G53" s="7">
        <v>0.32500000000000001</v>
      </c>
      <c r="H53" s="7">
        <v>0.35</v>
      </c>
      <c r="I53" s="7">
        <v>0.4</v>
      </c>
      <c r="J53" s="7">
        <v>0.4</v>
      </c>
      <c r="K53" s="9">
        <v>0.20343137254901961</v>
      </c>
      <c r="L53" s="9">
        <v>0.25490196078431371</v>
      </c>
      <c r="M53" s="9">
        <v>0.27647058823529413</v>
      </c>
      <c r="N53" s="9">
        <v>0.27647058823529413</v>
      </c>
      <c r="O53" s="11">
        <v>2.4313725490195948E-3</v>
      </c>
      <c r="P53" s="11">
        <v>1.9019607843137054E-3</v>
      </c>
      <c r="Q53" s="11">
        <v>2.4705882352941133E-3</v>
      </c>
      <c r="R53" s="11">
        <v>2.4705882352941133E-3</v>
      </c>
      <c r="S53" s="14"/>
      <c r="T53" s="14"/>
      <c r="U53" s="14"/>
      <c r="V53" s="18"/>
    </row>
    <row r="54" spans="1:22" x14ac:dyDescent="0.45">
      <c r="A54" s="2" t="s">
        <v>2</v>
      </c>
      <c r="B54" s="4">
        <v>5200000</v>
      </c>
      <c r="C54" s="5">
        <v>1070000</v>
      </c>
      <c r="D54" s="5">
        <v>1335000</v>
      </c>
      <c r="E54" s="5">
        <v>1450000</v>
      </c>
      <c r="F54" s="5">
        <v>1450000</v>
      </c>
      <c r="G54" s="7">
        <v>0.32500000000000001</v>
      </c>
      <c r="H54" s="7">
        <v>0.35</v>
      </c>
      <c r="I54" s="7">
        <v>0.4</v>
      </c>
      <c r="J54" s="7">
        <v>0.4</v>
      </c>
      <c r="K54" s="9">
        <v>0.20576923076923076</v>
      </c>
      <c r="L54" s="9">
        <v>0.25673076923076921</v>
      </c>
      <c r="M54" s="9">
        <v>0.27884615384615385</v>
      </c>
      <c r="N54" s="9">
        <v>0.27884615384615385</v>
      </c>
      <c r="O54" s="11">
        <v>2.3378582202111531E-3</v>
      </c>
      <c r="P54" s="11">
        <v>1.8288084464554988E-3</v>
      </c>
      <c r="Q54" s="11">
        <v>2.3755656108597201E-3</v>
      </c>
      <c r="R54" s="11">
        <v>2.3755656108597201E-3</v>
      </c>
      <c r="S54" s="14"/>
      <c r="T54" s="14"/>
      <c r="U54" s="14"/>
      <c r="V54" s="18"/>
    </row>
    <row r="55" spans="1:22" x14ac:dyDescent="0.45">
      <c r="A55" s="2" t="s">
        <v>2</v>
      </c>
      <c r="B55" s="4">
        <v>5300000</v>
      </c>
      <c r="C55" s="5">
        <v>1102500</v>
      </c>
      <c r="D55" s="5">
        <v>1370000</v>
      </c>
      <c r="E55" s="5">
        <v>1490000</v>
      </c>
      <c r="F55" s="5">
        <v>1490000</v>
      </c>
      <c r="G55" s="7">
        <v>0.32500000000000001</v>
      </c>
      <c r="H55" s="7">
        <v>0.35</v>
      </c>
      <c r="I55" s="7">
        <v>0.4</v>
      </c>
      <c r="J55" s="7">
        <v>0.4</v>
      </c>
      <c r="K55" s="9">
        <v>0.20801886792452831</v>
      </c>
      <c r="L55" s="9">
        <v>0.25849056603773585</v>
      </c>
      <c r="M55" s="9">
        <v>0.28113207547169811</v>
      </c>
      <c r="N55" s="9">
        <v>0.28113207547169811</v>
      </c>
      <c r="O55" s="11">
        <v>2.2496371552975514E-3</v>
      </c>
      <c r="P55" s="11">
        <v>1.7597968069666403E-3</v>
      </c>
      <c r="Q55" s="11">
        <v>2.2859216255442516E-3</v>
      </c>
      <c r="R55" s="11">
        <v>2.2859216255442516E-3</v>
      </c>
      <c r="S55" s="14"/>
      <c r="T55" s="14"/>
      <c r="U55" s="14"/>
      <c r="V55" s="18"/>
    </row>
    <row r="56" spans="1:22" x14ac:dyDescent="0.45">
      <c r="A56" s="2" t="s">
        <v>2</v>
      </c>
      <c r="B56" s="4">
        <v>5400000</v>
      </c>
      <c r="C56" s="5">
        <v>1135000</v>
      </c>
      <c r="D56" s="5">
        <v>1405000</v>
      </c>
      <c r="E56" s="5">
        <v>1530000</v>
      </c>
      <c r="F56" s="5">
        <v>1530000</v>
      </c>
      <c r="G56" s="7">
        <v>0.32500000000000001</v>
      </c>
      <c r="H56" s="7">
        <v>0.35</v>
      </c>
      <c r="I56" s="7">
        <v>0.4</v>
      </c>
      <c r="J56" s="7">
        <v>0.4</v>
      </c>
      <c r="K56" s="9">
        <v>0.2101851851851852</v>
      </c>
      <c r="L56" s="9">
        <v>0.26018518518518519</v>
      </c>
      <c r="M56" s="9">
        <v>0.28333333333333333</v>
      </c>
      <c r="N56" s="9">
        <v>0.28333333333333333</v>
      </c>
      <c r="O56" s="11">
        <v>2.1663172606568859E-3</v>
      </c>
      <c r="P56" s="11">
        <v>1.6946191474493388E-3</v>
      </c>
      <c r="Q56" s="11">
        <v>2.2012578616352196E-3</v>
      </c>
      <c r="R56" s="11">
        <v>2.2012578616352196E-3</v>
      </c>
      <c r="S56" s="14"/>
      <c r="T56" s="14"/>
      <c r="U56" s="14"/>
      <c r="V56" s="18"/>
    </row>
    <row r="57" spans="1:22" x14ac:dyDescent="0.45">
      <c r="A57" s="2" t="s">
        <v>2</v>
      </c>
      <c r="B57" s="4">
        <v>5500000</v>
      </c>
      <c r="C57" s="5">
        <v>1167500</v>
      </c>
      <c r="D57" s="5">
        <v>1440000</v>
      </c>
      <c r="E57" s="5">
        <v>1570000</v>
      </c>
      <c r="F57" s="5">
        <v>1570000</v>
      </c>
      <c r="G57" s="7">
        <v>0.32500000000000001</v>
      </c>
      <c r="H57" s="7">
        <v>0.35</v>
      </c>
      <c r="I57" s="7">
        <v>0.4</v>
      </c>
      <c r="J57" s="7">
        <v>0.4</v>
      </c>
      <c r="K57" s="9">
        <v>0.21227272727272728</v>
      </c>
      <c r="L57" s="9">
        <v>0.26181818181818184</v>
      </c>
      <c r="M57" s="9">
        <v>0.28545454545454546</v>
      </c>
      <c r="N57" s="9">
        <v>0.28545454545454546</v>
      </c>
      <c r="O57" s="11">
        <v>2.0875420875420825E-3</v>
      </c>
      <c r="P57" s="11">
        <v>1.6329966329966528E-3</v>
      </c>
      <c r="Q57" s="11">
        <v>2.1212121212121349E-3</v>
      </c>
      <c r="R57" s="11">
        <v>2.1212121212121349E-3</v>
      </c>
      <c r="S57" s="14"/>
      <c r="T57" s="14"/>
      <c r="U57" s="14"/>
      <c r="V57" s="18"/>
    </row>
    <row r="58" spans="1:22" x14ac:dyDescent="0.45">
      <c r="A58" s="2" t="s">
        <v>2</v>
      </c>
      <c r="B58" s="4">
        <v>5600000</v>
      </c>
      <c r="C58" s="5">
        <v>1200000</v>
      </c>
      <c r="D58" s="5">
        <v>1475000</v>
      </c>
      <c r="E58" s="5">
        <v>1610000</v>
      </c>
      <c r="F58" s="5">
        <v>1610000</v>
      </c>
      <c r="G58" s="7">
        <v>0.32500000000000001</v>
      </c>
      <c r="H58" s="7">
        <v>0.35</v>
      </c>
      <c r="I58" s="7">
        <v>0.4</v>
      </c>
      <c r="J58" s="7">
        <v>0.4</v>
      </c>
      <c r="K58" s="9">
        <v>0.21428571428571427</v>
      </c>
      <c r="L58" s="9">
        <v>0.26339285714285715</v>
      </c>
      <c r="M58" s="9">
        <v>0.28749999999999998</v>
      </c>
      <c r="N58" s="9">
        <v>0.28749999999999998</v>
      </c>
      <c r="O58" s="11">
        <v>2.0129870129869942E-3</v>
      </c>
      <c r="P58" s="11">
        <v>1.574675324675312E-3</v>
      </c>
      <c r="Q58" s="11">
        <v>2.045454545454517E-3</v>
      </c>
      <c r="R58" s="11">
        <v>2.045454545454517E-3</v>
      </c>
      <c r="S58" s="14"/>
      <c r="T58" s="14"/>
      <c r="U58" s="14"/>
      <c r="V58" s="18"/>
    </row>
    <row r="59" spans="1:22" x14ac:dyDescent="0.45">
      <c r="A59" s="2" t="s">
        <v>2</v>
      </c>
      <c r="B59" s="4">
        <v>5700000</v>
      </c>
      <c r="C59" s="5">
        <v>1232500</v>
      </c>
      <c r="D59" s="5">
        <v>1510000</v>
      </c>
      <c r="E59" s="5">
        <v>1655000</v>
      </c>
      <c r="F59" s="5">
        <v>1655000</v>
      </c>
      <c r="G59" s="7">
        <v>0.32500000000000001</v>
      </c>
      <c r="H59" s="7">
        <v>0.35</v>
      </c>
      <c r="I59" s="7">
        <v>0.45</v>
      </c>
      <c r="J59" s="7">
        <v>0.45</v>
      </c>
      <c r="K59" s="9">
        <v>0.2162280701754386</v>
      </c>
      <c r="L59" s="9">
        <v>0.26491228070175438</v>
      </c>
      <c r="M59" s="9">
        <v>0.29035087719298247</v>
      </c>
      <c r="N59" s="9">
        <v>0.29035087719298247</v>
      </c>
      <c r="O59" s="11">
        <v>1.9423558897243287E-3</v>
      </c>
      <c r="P59" s="11">
        <v>1.519423558897226E-3</v>
      </c>
      <c r="Q59" s="11">
        <v>2.8508771929824928E-3</v>
      </c>
      <c r="R59" s="11">
        <v>2.8508771929824928E-3</v>
      </c>
      <c r="S59" s="14"/>
      <c r="T59" s="14"/>
      <c r="U59" s="14"/>
      <c r="V59" s="18"/>
    </row>
    <row r="60" spans="1:22" x14ac:dyDescent="0.45">
      <c r="A60" s="2" t="s">
        <v>2</v>
      </c>
      <c r="B60" s="4">
        <v>5800000</v>
      </c>
      <c r="C60" s="5">
        <v>1265000</v>
      </c>
      <c r="D60" s="5">
        <v>1545000</v>
      </c>
      <c r="E60" s="5">
        <v>1700000</v>
      </c>
      <c r="F60" s="5">
        <v>1700000</v>
      </c>
      <c r="G60" s="7">
        <v>0.32500000000000001</v>
      </c>
      <c r="H60" s="7">
        <v>0.35</v>
      </c>
      <c r="I60" s="7">
        <v>0.45</v>
      </c>
      <c r="J60" s="7">
        <v>0.45</v>
      </c>
      <c r="K60" s="9">
        <v>0.21810344827586206</v>
      </c>
      <c r="L60" s="9">
        <v>0.26637931034482759</v>
      </c>
      <c r="M60" s="9">
        <v>0.29310344827586204</v>
      </c>
      <c r="N60" s="9">
        <v>0.29310344827586204</v>
      </c>
      <c r="O60" s="11">
        <v>1.8753781004234582E-3</v>
      </c>
      <c r="P60" s="11">
        <v>1.4670296430732144E-3</v>
      </c>
      <c r="Q60" s="11">
        <v>2.7525710828795735E-3</v>
      </c>
      <c r="R60" s="11">
        <v>2.7525710828795735E-3</v>
      </c>
      <c r="S60" s="14"/>
      <c r="T60" s="14"/>
      <c r="U60" s="14"/>
      <c r="V60" s="18"/>
    </row>
    <row r="61" spans="1:22" x14ac:dyDescent="0.45">
      <c r="A61" s="2" t="s">
        <v>2</v>
      </c>
      <c r="B61" s="4">
        <v>5900000</v>
      </c>
      <c r="C61" s="5">
        <v>1297500</v>
      </c>
      <c r="D61" s="5">
        <v>1580000</v>
      </c>
      <c r="E61" s="5">
        <v>1745000</v>
      </c>
      <c r="F61" s="5">
        <v>1745000</v>
      </c>
      <c r="G61" s="7">
        <v>0.32500000000000001</v>
      </c>
      <c r="H61" s="7">
        <v>0.35</v>
      </c>
      <c r="I61" s="7">
        <v>0.45</v>
      </c>
      <c r="J61" s="7">
        <v>0.45</v>
      </c>
      <c r="K61" s="9">
        <v>0.21991525423728814</v>
      </c>
      <c r="L61" s="9">
        <v>0.26779661016949152</v>
      </c>
      <c r="M61" s="9">
        <v>0.29576271186440678</v>
      </c>
      <c r="N61" s="9">
        <v>0.29576271186440678</v>
      </c>
      <c r="O61" s="11">
        <v>1.8118059614260773E-3</v>
      </c>
      <c r="P61" s="11">
        <v>1.4172998246639312E-3</v>
      </c>
      <c r="Q61" s="11">
        <v>2.6592635885447358E-3</v>
      </c>
      <c r="R61" s="11">
        <v>2.6592635885447358E-3</v>
      </c>
      <c r="S61" s="14"/>
      <c r="T61" s="14"/>
      <c r="U61" s="14"/>
      <c r="V61" s="18"/>
    </row>
    <row r="62" spans="1:22" x14ac:dyDescent="0.45">
      <c r="A62" s="2" t="s">
        <v>2</v>
      </c>
      <c r="B62" s="4">
        <v>6000000</v>
      </c>
      <c r="C62" s="5">
        <v>1330000</v>
      </c>
      <c r="D62" s="5">
        <v>1615000</v>
      </c>
      <c r="E62" s="5">
        <v>1790000</v>
      </c>
      <c r="F62" s="5">
        <v>1790000</v>
      </c>
      <c r="G62" s="7">
        <v>0.32500000000000001</v>
      </c>
      <c r="H62" s="7">
        <v>0.35</v>
      </c>
      <c r="I62" s="7">
        <v>0.45</v>
      </c>
      <c r="J62" s="7">
        <v>0.45</v>
      </c>
      <c r="K62" s="9">
        <v>0.22166666666666668</v>
      </c>
      <c r="L62" s="9">
        <v>0.26916666666666667</v>
      </c>
      <c r="M62" s="9">
        <v>0.29833333333333334</v>
      </c>
      <c r="N62" s="9">
        <v>0.29833333333333334</v>
      </c>
      <c r="O62" s="11">
        <v>1.7514124293785405E-3</v>
      </c>
      <c r="P62" s="11">
        <v>1.3700564971751428E-3</v>
      </c>
      <c r="Q62" s="11">
        <v>2.5706214689265594E-3</v>
      </c>
      <c r="R62" s="11">
        <v>2.5706214689265594E-3</v>
      </c>
      <c r="S62" s="14"/>
      <c r="T62" s="14"/>
      <c r="U62" s="14"/>
      <c r="V62" s="18"/>
    </row>
    <row r="63" spans="1:22" x14ac:dyDescent="0.45">
      <c r="A63" s="2" t="s">
        <v>2</v>
      </c>
      <c r="B63" s="4">
        <v>6100000</v>
      </c>
      <c r="C63" s="5">
        <v>1365000</v>
      </c>
      <c r="D63" s="5">
        <v>1650000</v>
      </c>
      <c r="E63" s="5">
        <v>1835000</v>
      </c>
      <c r="F63" s="5">
        <v>1835000</v>
      </c>
      <c r="G63" s="7">
        <v>0.35</v>
      </c>
      <c r="H63" s="7">
        <v>0.35</v>
      </c>
      <c r="I63" s="7">
        <v>0.45</v>
      </c>
      <c r="J63" s="7">
        <v>0.45</v>
      </c>
      <c r="K63" s="9">
        <v>0.22377049180327868</v>
      </c>
      <c r="L63" s="9">
        <v>0.27049180327868855</v>
      </c>
      <c r="M63" s="9">
        <v>0.30081967213114752</v>
      </c>
      <c r="N63" s="9">
        <v>0.30081967213114752</v>
      </c>
      <c r="O63" s="11">
        <v>2.1038251366120031E-3</v>
      </c>
      <c r="P63" s="11">
        <v>1.3251366120218822E-3</v>
      </c>
      <c r="Q63" s="11">
        <v>2.4863387978141804E-3</v>
      </c>
      <c r="R63" s="11">
        <v>2.4863387978141804E-3</v>
      </c>
      <c r="S63" s="14"/>
      <c r="T63" s="14"/>
      <c r="U63" s="14"/>
      <c r="V63" s="18"/>
    </row>
    <row r="64" spans="1:22" x14ac:dyDescent="0.45">
      <c r="A64" s="2" t="s">
        <v>3</v>
      </c>
      <c r="B64" s="16">
        <v>0</v>
      </c>
      <c r="C64" s="5">
        <v>0</v>
      </c>
      <c r="D64" s="5">
        <v>0</v>
      </c>
      <c r="E64" s="5">
        <v>0</v>
      </c>
      <c r="F64" s="5">
        <v>0</v>
      </c>
      <c r="G64" s="7">
        <v>0</v>
      </c>
      <c r="H64" s="7">
        <v>0</v>
      </c>
      <c r="I64" s="7">
        <v>0</v>
      </c>
      <c r="J64" s="7">
        <v>0</v>
      </c>
      <c r="K64" s="9">
        <v>0</v>
      </c>
      <c r="L64" s="9">
        <v>0</v>
      </c>
      <c r="M64" s="9">
        <v>0</v>
      </c>
      <c r="N64" s="9">
        <v>0</v>
      </c>
      <c r="O64" s="11">
        <v>0</v>
      </c>
      <c r="P64" s="11">
        <v>0</v>
      </c>
      <c r="Q64" s="11">
        <v>0</v>
      </c>
      <c r="R64" s="11">
        <v>0</v>
      </c>
      <c r="S64" s="14"/>
      <c r="T64" s="14"/>
      <c r="U64" s="14"/>
      <c r="V64" s="18"/>
    </row>
    <row r="65" spans="1:22" x14ac:dyDescent="0.45">
      <c r="A65" s="2" t="s">
        <v>3</v>
      </c>
      <c r="B65" s="4">
        <v>100000</v>
      </c>
      <c r="C65" s="5">
        <v>0</v>
      </c>
      <c r="D65" s="5">
        <v>0</v>
      </c>
      <c r="E65" s="5">
        <v>0</v>
      </c>
      <c r="F65" s="5">
        <v>0</v>
      </c>
      <c r="G65" s="7">
        <v>0</v>
      </c>
      <c r="H65" s="7">
        <v>0</v>
      </c>
      <c r="I65" s="7">
        <v>0</v>
      </c>
      <c r="J65" s="7">
        <v>0</v>
      </c>
      <c r="K65" s="9">
        <v>0</v>
      </c>
      <c r="L65" s="9">
        <v>0</v>
      </c>
      <c r="M65" s="9">
        <v>0</v>
      </c>
      <c r="N65" s="9">
        <v>0</v>
      </c>
      <c r="O65" s="11">
        <v>0</v>
      </c>
      <c r="P65" s="11">
        <v>0</v>
      </c>
      <c r="Q65" s="11">
        <v>0</v>
      </c>
      <c r="R65" s="11">
        <v>0</v>
      </c>
      <c r="S65" s="15">
        <f>VLOOKUP(B65,[1]Sheet1!$C$3:$F$1048576,2,0)</f>
        <v>17896</v>
      </c>
      <c r="T65" s="15">
        <f>VLOOKUP(B65,[1]Sheet1!$C$3:$F$1048576,3,0)</f>
        <v>281841091</v>
      </c>
      <c r="U65" s="15">
        <f>VLOOKUP(B65,[1]Sheet1!$C$3:$F$1048576,4,0)</f>
        <v>5015540160</v>
      </c>
      <c r="V65" s="19">
        <f>T65/S65</f>
        <v>15748.831638354939</v>
      </c>
    </row>
    <row r="66" spans="1:22" x14ac:dyDescent="0.45">
      <c r="A66" s="2" t="s">
        <v>3</v>
      </c>
      <c r="B66" s="4">
        <v>200000</v>
      </c>
      <c r="C66" s="5">
        <v>0</v>
      </c>
      <c r="D66" s="5">
        <v>0</v>
      </c>
      <c r="E66" s="5">
        <v>0</v>
      </c>
      <c r="F66" s="5">
        <v>0</v>
      </c>
      <c r="G66" s="7">
        <v>0</v>
      </c>
      <c r="H66" s="7">
        <v>0</v>
      </c>
      <c r="I66" s="7">
        <v>0</v>
      </c>
      <c r="J66" s="7">
        <v>0</v>
      </c>
      <c r="K66" s="9">
        <v>0</v>
      </c>
      <c r="L66" s="9">
        <v>0</v>
      </c>
      <c r="M66" s="9">
        <v>0</v>
      </c>
      <c r="N66" s="9">
        <v>0</v>
      </c>
      <c r="O66" s="11">
        <v>0</v>
      </c>
      <c r="P66" s="11">
        <v>0</v>
      </c>
      <c r="Q66" s="11">
        <v>0</v>
      </c>
      <c r="R66" s="11">
        <v>0</v>
      </c>
      <c r="S66" s="15">
        <f>VLOOKUP(B66,[1]Sheet1!$C$3:$F$1048576,2,0)</f>
        <v>2668</v>
      </c>
      <c r="T66" s="15">
        <f>VLOOKUP(B66,[1]Sheet1!$C$3:$F$1048576,3,0)</f>
        <v>397207354</v>
      </c>
      <c r="U66" s="15">
        <f>VLOOKUP(B66,[1]Sheet1!$C$3:$F$1048576,4,0)</f>
        <v>195054688</v>
      </c>
      <c r="V66" s="19">
        <f t="shared" ref="V66" si="0">T66/S66</f>
        <v>148878.31859070464</v>
      </c>
    </row>
    <row r="67" spans="1:22" x14ac:dyDescent="0.45">
      <c r="A67" s="2" t="s">
        <v>3</v>
      </c>
      <c r="B67" s="4">
        <v>300000</v>
      </c>
      <c r="C67" s="5">
        <v>0</v>
      </c>
      <c r="D67" s="5">
        <v>0</v>
      </c>
      <c r="E67" s="5">
        <v>0</v>
      </c>
      <c r="F67" s="5">
        <v>0</v>
      </c>
      <c r="G67" s="7">
        <v>0</v>
      </c>
      <c r="H67" s="7">
        <v>0</v>
      </c>
      <c r="I67" s="7">
        <v>0</v>
      </c>
      <c r="J67" s="7">
        <v>0</v>
      </c>
      <c r="K67" s="9">
        <v>0</v>
      </c>
      <c r="L67" s="9">
        <v>0</v>
      </c>
      <c r="M67" s="9">
        <v>0</v>
      </c>
      <c r="N67" s="9">
        <v>0</v>
      </c>
      <c r="O67" s="11">
        <v>0</v>
      </c>
      <c r="P67" s="11">
        <v>0</v>
      </c>
      <c r="Q67" s="11">
        <v>0</v>
      </c>
      <c r="R67" s="11">
        <v>0</v>
      </c>
      <c r="S67" s="15">
        <f>VLOOKUP(B67,[1]Sheet1!$C$3:$F$1048576,2,0)</f>
        <v>2345</v>
      </c>
      <c r="T67" s="15">
        <f>VLOOKUP(B67,[1]Sheet1!$C$3:$F$1048576,3,0)</f>
        <v>587424870</v>
      </c>
      <c r="U67" s="15">
        <f>VLOOKUP(B67,[1]Sheet1!$C$3:$F$1048576,4,0)</f>
        <v>178195441</v>
      </c>
      <c r="V67" s="19">
        <f t="shared" ref="V67:V130" si="1">T67/S67</f>
        <v>250501.0106609808</v>
      </c>
    </row>
    <row r="68" spans="1:22" x14ac:dyDescent="0.45">
      <c r="A68" s="2" t="s">
        <v>3</v>
      </c>
      <c r="B68" s="4">
        <v>400000</v>
      </c>
      <c r="C68" s="5">
        <v>0</v>
      </c>
      <c r="D68" s="5">
        <v>0</v>
      </c>
      <c r="E68" s="5">
        <v>0</v>
      </c>
      <c r="F68" s="5">
        <v>0</v>
      </c>
      <c r="G68" s="7">
        <v>0</v>
      </c>
      <c r="H68" s="7">
        <v>0</v>
      </c>
      <c r="I68" s="7">
        <v>0</v>
      </c>
      <c r="J68" s="7">
        <v>0</v>
      </c>
      <c r="K68" s="9">
        <v>0</v>
      </c>
      <c r="L68" s="9">
        <v>0</v>
      </c>
      <c r="M68" s="9">
        <v>0</v>
      </c>
      <c r="N68" s="9">
        <v>0</v>
      </c>
      <c r="O68" s="11">
        <v>0</v>
      </c>
      <c r="P68" s="11">
        <v>0</v>
      </c>
      <c r="Q68" s="11">
        <v>0</v>
      </c>
      <c r="R68" s="11">
        <v>0</v>
      </c>
      <c r="S68" s="15">
        <f>VLOOKUP(B68,[1]Sheet1!$C$3:$F$1048576,2,0)</f>
        <v>2269</v>
      </c>
      <c r="T68" s="15">
        <f>VLOOKUP(B68,[1]Sheet1!$C$3:$F$1048576,3,0)</f>
        <v>794974732</v>
      </c>
      <c r="U68" s="15">
        <f>VLOOKUP(B68,[1]Sheet1!$C$3:$F$1048576,4,0)</f>
        <v>152951905</v>
      </c>
      <c r="V68" s="19">
        <f t="shared" si="1"/>
        <v>350363.47818422213</v>
      </c>
    </row>
    <row r="69" spans="1:22" x14ac:dyDescent="0.45">
      <c r="A69" s="2" t="s">
        <v>3</v>
      </c>
      <c r="B69" s="4">
        <v>500000</v>
      </c>
      <c r="C69" s="5">
        <v>0</v>
      </c>
      <c r="D69" s="5">
        <v>0</v>
      </c>
      <c r="E69" s="5">
        <v>0</v>
      </c>
      <c r="F69" s="5">
        <v>0</v>
      </c>
      <c r="G69" s="7">
        <v>0</v>
      </c>
      <c r="H69" s="7">
        <v>0</v>
      </c>
      <c r="I69" s="7">
        <v>0</v>
      </c>
      <c r="J69" s="7">
        <v>0</v>
      </c>
      <c r="K69" s="9">
        <v>0</v>
      </c>
      <c r="L69" s="9">
        <v>0</v>
      </c>
      <c r="M69" s="9">
        <v>0</v>
      </c>
      <c r="N69" s="9">
        <v>0</v>
      </c>
      <c r="O69" s="11">
        <v>0</v>
      </c>
      <c r="P69" s="11">
        <v>0</v>
      </c>
      <c r="Q69" s="11">
        <v>0</v>
      </c>
      <c r="R69" s="11">
        <v>0</v>
      </c>
      <c r="S69" s="15">
        <f>VLOOKUP(B69,[1]Sheet1!$C$3:$F$1048576,2,0)</f>
        <v>3316</v>
      </c>
      <c r="T69" s="15">
        <f>VLOOKUP(B69,[1]Sheet1!$C$3:$F$1048576,3,0)</f>
        <v>1506998837</v>
      </c>
      <c r="U69" s="15">
        <f>VLOOKUP(B69,[1]Sheet1!$C$3:$F$1048576,4,0)</f>
        <v>150503796</v>
      </c>
      <c r="V69" s="19">
        <f t="shared" si="1"/>
        <v>454462.85796139925</v>
      </c>
    </row>
    <row r="70" spans="1:22" x14ac:dyDescent="0.45">
      <c r="A70" s="2" t="s">
        <v>3</v>
      </c>
      <c r="B70" s="4">
        <v>600000</v>
      </c>
      <c r="C70" s="5">
        <v>0</v>
      </c>
      <c r="D70" s="5">
        <v>0</v>
      </c>
      <c r="E70" s="5">
        <v>0</v>
      </c>
      <c r="F70" s="5">
        <v>0</v>
      </c>
      <c r="G70" s="7">
        <v>0</v>
      </c>
      <c r="H70" s="7">
        <v>0</v>
      </c>
      <c r="I70" s="7">
        <v>0</v>
      </c>
      <c r="J70" s="7">
        <v>0</v>
      </c>
      <c r="K70" s="9">
        <v>0</v>
      </c>
      <c r="L70" s="9">
        <v>0</v>
      </c>
      <c r="M70" s="9">
        <v>0</v>
      </c>
      <c r="N70" s="9">
        <v>0</v>
      </c>
      <c r="O70" s="11">
        <v>0</v>
      </c>
      <c r="P70" s="11">
        <v>0</v>
      </c>
      <c r="Q70" s="11">
        <v>0</v>
      </c>
      <c r="R70" s="11">
        <v>0</v>
      </c>
      <c r="S70" s="15">
        <f>VLOOKUP(B70,[1]Sheet1!$C$3:$F$1048576,2,0)</f>
        <v>7912</v>
      </c>
      <c r="T70" s="15">
        <f>VLOOKUP(B70,[1]Sheet1!$C$3:$F$1048576,3,0)</f>
        <v>4451371142</v>
      </c>
      <c r="U70" s="15">
        <f>VLOOKUP(B70,[1]Sheet1!$C$3:$F$1048576,4,0)</f>
        <v>160785166</v>
      </c>
      <c r="V70" s="19">
        <f t="shared" si="1"/>
        <v>562610.103892821</v>
      </c>
    </row>
    <row r="71" spans="1:22" x14ac:dyDescent="0.45">
      <c r="A71" s="2" t="s">
        <v>3</v>
      </c>
      <c r="B71" s="4">
        <v>700000</v>
      </c>
      <c r="C71" s="5">
        <v>2500</v>
      </c>
      <c r="D71" s="5">
        <v>2500</v>
      </c>
      <c r="E71" s="5">
        <v>5000</v>
      </c>
      <c r="F71" s="5">
        <v>1000</v>
      </c>
      <c r="G71" s="7">
        <v>2.5000000000000001E-2</v>
      </c>
      <c r="H71" s="7">
        <v>2.5000000000000001E-2</v>
      </c>
      <c r="I71" s="7">
        <v>0.05</v>
      </c>
      <c r="J71" s="7">
        <v>0.01</v>
      </c>
      <c r="K71" s="9">
        <v>3.5714285714285713E-3</v>
      </c>
      <c r="L71" s="9">
        <v>3.5714285714285713E-3</v>
      </c>
      <c r="M71" s="9">
        <v>7.1428571428571426E-3</v>
      </c>
      <c r="N71" s="9">
        <v>1.4285714285714286E-3</v>
      </c>
      <c r="O71" s="11">
        <v>3.5714285714285713E-3</v>
      </c>
      <c r="P71" s="11">
        <v>3.5714285714285713E-3</v>
      </c>
      <c r="Q71" s="11">
        <v>7.1428571428571426E-3</v>
      </c>
      <c r="R71" s="11">
        <v>1.4285714285714286E-3</v>
      </c>
      <c r="S71" s="15">
        <f>VLOOKUP(B71,[1]Sheet1!$C$3:$F$1048576,2,0)</f>
        <v>46052</v>
      </c>
      <c r="T71" s="15">
        <f>VLOOKUP(B71,[1]Sheet1!$C$3:$F$1048576,3,0)</f>
        <v>30240320618</v>
      </c>
      <c r="U71" s="15">
        <f>VLOOKUP(B71,[1]Sheet1!$C$3:$F$1048576,4,0)</f>
        <v>296231700</v>
      </c>
      <c r="V71" s="19">
        <f t="shared" si="1"/>
        <v>656655.96755841223</v>
      </c>
    </row>
    <row r="72" spans="1:22" x14ac:dyDescent="0.45">
      <c r="A72" s="2" t="s">
        <v>3</v>
      </c>
      <c r="B72" s="4">
        <v>800000</v>
      </c>
      <c r="C72" s="5">
        <v>5000</v>
      </c>
      <c r="D72" s="5">
        <v>5000</v>
      </c>
      <c r="E72" s="5">
        <v>10000</v>
      </c>
      <c r="F72" s="5">
        <v>2000</v>
      </c>
      <c r="G72" s="7">
        <v>2.5000000000000001E-2</v>
      </c>
      <c r="H72" s="7">
        <v>2.5000000000000001E-2</v>
      </c>
      <c r="I72" s="7">
        <v>0.05</v>
      </c>
      <c r="J72" s="7">
        <v>0.01</v>
      </c>
      <c r="K72" s="9">
        <v>6.2500000000000003E-3</v>
      </c>
      <c r="L72" s="9">
        <v>6.2500000000000003E-3</v>
      </c>
      <c r="M72" s="9">
        <v>1.2500000000000001E-2</v>
      </c>
      <c r="N72" s="9">
        <v>2.5000000000000001E-3</v>
      </c>
      <c r="O72" s="11">
        <v>2.678571428571429E-3</v>
      </c>
      <c r="P72" s="11">
        <v>2.678571428571429E-3</v>
      </c>
      <c r="Q72" s="11">
        <v>5.3571428571428581E-3</v>
      </c>
      <c r="R72" s="11">
        <v>1.0714285714285715E-3</v>
      </c>
      <c r="S72" s="15">
        <f>VLOOKUP(B72,[1]Sheet1!$C$3:$F$1048576,2,0)</f>
        <v>72478</v>
      </c>
      <c r="T72" s="15">
        <f>VLOOKUP(B72,[1]Sheet1!$C$3:$F$1048576,3,0)</f>
        <v>54414802123</v>
      </c>
      <c r="U72" s="15">
        <f>VLOOKUP(B72,[1]Sheet1!$C$3:$F$1048576,4,0)</f>
        <v>662357812</v>
      </c>
      <c r="V72" s="19">
        <f t="shared" si="1"/>
        <v>750776.81673059415</v>
      </c>
    </row>
    <row r="73" spans="1:22" x14ac:dyDescent="0.45">
      <c r="A73" s="2" t="s">
        <v>3</v>
      </c>
      <c r="B73" s="4">
        <v>900000</v>
      </c>
      <c r="C73" s="5">
        <v>7500</v>
      </c>
      <c r="D73" s="5">
        <v>7500</v>
      </c>
      <c r="E73" s="5">
        <v>15000</v>
      </c>
      <c r="F73" s="5">
        <v>3000</v>
      </c>
      <c r="G73" s="7">
        <v>2.5000000000000001E-2</v>
      </c>
      <c r="H73" s="7">
        <v>2.5000000000000001E-2</v>
      </c>
      <c r="I73" s="7">
        <v>0.05</v>
      </c>
      <c r="J73" s="7">
        <v>0.01</v>
      </c>
      <c r="K73" s="9">
        <v>8.3333333333333332E-3</v>
      </c>
      <c r="L73" s="9">
        <v>8.3333333333333332E-3</v>
      </c>
      <c r="M73" s="9">
        <v>1.6666666666666666E-2</v>
      </c>
      <c r="N73" s="9">
        <v>3.3333333333333335E-3</v>
      </c>
      <c r="O73" s="11">
        <v>2.0833333333333329E-3</v>
      </c>
      <c r="P73" s="11">
        <v>2.0833333333333329E-3</v>
      </c>
      <c r="Q73" s="11">
        <v>4.1666666666666657E-3</v>
      </c>
      <c r="R73" s="11">
        <v>8.333333333333335E-4</v>
      </c>
      <c r="S73" s="15">
        <f>VLOOKUP(B73,[1]Sheet1!$C$3:$F$1048576,2,0)</f>
        <v>83774</v>
      </c>
      <c r="T73" s="15">
        <f>VLOOKUP(B73,[1]Sheet1!$C$3:$F$1048576,3,0)</f>
        <v>71385323930</v>
      </c>
      <c r="U73" s="15">
        <f>VLOOKUP(B73,[1]Sheet1!$C$3:$F$1048576,4,0)</f>
        <v>1115343086</v>
      </c>
      <c r="V73" s="19">
        <f t="shared" si="1"/>
        <v>852117.887769475</v>
      </c>
    </row>
    <row r="74" spans="1:22" x14ac:dyDescent="0.45">
      <c r="A74" s="2" t="s">
        <v>3</v>
      </c>
      <c r="B74" s="4">
        <v>1000000</v>
      </c>
      <c r="C74" s="5">
        <v>10000</v>
      </c>
      <c r="D74" s="5">
        <v>10000</v>
      </c>
      <c r="E74" s="5">
        <v>20000</v>
      </c>
      <c r="F74" s="5">
        <v>4000</v>
      </c>
      <c r="G74" s="7">
        <v>2.5000000000000001E-2</v>
      </c>
      <c r="H74" s="7">
        <v>2.5000000000000001E-2</v>
      </c>
      <c r="I74" s="7">
        <v>0.05</v>
      </c>
      <c r="J74" s="7">
        <v>0.01</v>
      </c>
      <c r="K74" s="9">
        <v>0.01</v>
      </c>
      <c r="L74" s="9">
        <v>0.01</v>
      </c>
      <c r="M74" s="9">
        <v>0.02</v>
      </c>
      <c r="N74" s="9">
        <v>4.0000000000000001E-3</v>
      </c>
      <c r="O74" s="11">
        <v>1.666666666666667E-3</v>
      </c>
      <c r="P74" s="11">
        <v>1.666666666666667E-3</v>
      </c>
      <c r="Q74" s="11">
        <v>3.333333333333334E-3</v>
      </c>
      <c r="R74" s="11">
        <v>6.6666666666666654E-4</v>
      </c>
      <c r="S74" s="15">
        <f>VLOOKUP(B74,[1]Sheet1!$C$3:$F$1048576,2,0)</f>
        <v>80190</v>
      </c>
      <c r="T74" s="15">
        <f>VLOOKUP(B74,[1]Sheet1!$C$3:$F$1048576,3,0)</f>
        <v>76156863403</v>
      </c>
      <c r="U74" s="15">
        <f>VLOOKUP(B74,[1]Sheet1!$C$3:$F$1048576,4,0)</f>
        <v>1456154858</v>
      </c>
      <c r="V74" s="19">
        <f t="shared" si="1"/>
        <v>949705.2425863574</v>
      </c>
    </row>
    <row r="75" spans="1:22" x14ac:dyDescent="0.45">
      <c r="A75" s="2" t="s">
        <v>3</v>
      </c>
      <c r="B75" s="4">
        <v>1100000</v>
      </c>
      <c r="C75" s="5">
        <v>12500</v>
      </c>
      <c r="D75" s="5">
        <v>12500</v>
      </c>
      <c r="E75" s="5">
        <v>25000</v>
      </c>
      <c r="F75" s="5">
        <v>5000</v>
      </c>
      <c r="G75" s="7">
        <v>2.5000000000000001E-2</v>
      </c>
      <c r="H75" s="7">
        <v>2.5000000000000001E-2</v>
      </c>
      <c r="I75" s="7">
        <v>0.05</v>
      </c>
      <c r="J75" s="7">
        <v>0.01</v>
      </c>
      <c r="K75" s="9">
        <v>1.1363636363636364E-2</v>
      </c>
      <c r="L75" s="9">
        <v>1.1363636363636364E-2</v>
      </c>
      <c r="M75" s="9">
        <v>2.2727272727272728E-2</v>
      </c>
      <c r="N75" s="9">
        <v>4.5454545454545452E-3</v>
      </c>
      <c r="O75" s="11">
        <v>1.3636363636363637E-3</v>
      </c>
      <c r="P75" s="11">
        <v>1.3636363636363637E-3</v>
      </c>
      <c r="Q75" s="11">
        <v>2.7272727272727275E-3</v>
      </c>
      <c r="R75" s="11">
        <v>5.4545454545454515E-4</v>
      </c>
      <c r="S75" s="15">
        <f>VLOOKUP(B75,[1]Sheet1!$C$3:$F$1048576,2,0)</f>
        <v>74431</v>
      </c>
      <c r="T75" s="15">
        <f>VLOOKUP(B75,[1]Sheet1!$C$3:$F$1048576,3,0)</f>
        <v>78145078436</v>
      </c>
      <c r="U75" s="15">
        <f>VLOOKUP(B75,[1]Sheet1!$C$3:$F$1048576,4,0)</f>
        <v>1691714346</v>
      </c>
      <c r="V75" s="19">
        <f t="shared" si="1"/>
        <v>1049899.6175786972</v>
      </c>
    </row>
    <row r="76" spans="1:22" x14ac:dyDescent="0.45">
      <c r="A76" s="2" t="s">
        <v>3</v>
      </c>
      <c r="B76" s="4">
        <v>1200000</v>
      </c>
      <c r="C76" s="5">
        <v>15000</v>
      </c>
      <c r="D76" s="5">
        <v>15000</v>
      </c>
      <c r="E76" s="5">
        <v>30000</v>
      </c>
      <c r="F76" s="5">
        <v>6000</v>
      </c>
      <c r="G76" s="7">
        <v>2.5000000000000001E-2</v>
      </c>
      <c r="H76" s="7">
        <v>2.5000000000000001E-2</v>
      </c>
      <c r="I76" s="7">
        <v>0.05</v>
      </c>
      <c r="J76" s="7">
        <v>0.01</v>
      </c>
      <c r="K76" s="9">
        <v>1.2500000000000001E-2</v>
      </c>
      <c r="L76" s="9">
        <v>1.2500000000000001E-2</v>
      </c>
      <c r="M76" s="9">
        <v>2.5000000000000001E-2</v>
      </c>
      <c r="N76" s="9">
        <v>5.0000000000000001E-3</v>
      </c>
      <c r="O76" s="11">
        <v>1.1363636363636367E-3</v>
      </c>
      <c r="P76" s="11">
        <v>1.1363636363636367E-3</v>
      </c>
      <c r="Q76" s="11">
        <v>2.2727272727272735E-3</v>
      </c>
      <c r="R76" s="11">
        <v>4.5454545454545487E-4</v>
      </c>
      <c r="S76" s="15">
        <f>VLOOKUP(B76,[1]Sheet1!$C$3:$F$1048576,2,0)</f>
        <v>74281</v>
      </c>
      <c r="T76" s="15">
        <f>VLOOKUP(B76,[1]Sheet1!$C$3:$F$1048576,3,0)</f>
        <v>85801837443</v>
      </c>
      <c r="U76" s="15">
        <f>VLOOKUP(B76,[1]Sheet1!$C$3:$F$1048576,4,0)</f>
        <v>2119512820</v>
      </c>
      <c r="V76" s="19">
        <f t="shared" si="1"/>
        <v>1155098.039108251</v>
      </c>
    </row>
    <row r="77" spans="1:22" x14ac:dyDescent="0.45">
      <c r="A77" s="2" t="s">
        <v>3</v>
      </c>
      <c r="B77" s="4">
        <v>1300000</v>
      </c>
      <c r="C77" s="5">
        <v>27500</v>
      </c>
      <c r="D77" s="5">
        <v>27500</v>
      </c>
      <c r="E77" s="5">
        <v>45000</v>
      </c>
      <c r="F77" s="5">
        <v>17000</v>
      </c>
      <c r="G77" s="7">
        <v>0.125</v>
      </c>
      <c r="H77" s="7">
        <v>0.125</v>
      </c>
      <c r="I77" s="7">
        <v>0.15</v>
      </c>
      <c r="J77" s="7">
        <v>0.11</v>
      </c>
      <c r="K77" s="9">
        <v>2.1153846153846155E-2</v>
      </c>
      <c r="L77" s="9">
        <v>2.1153846153846155E-2</v>
      </c>
      <c r="M77" s="9">
        <v>3.4615384615384617E-2</v>
      </c>
      <c r="N77" s="9">
        <v>1.3076923076923076E-2</v>
      </c>
      <c r="O77" s="11">
        <v>8.6538461538461543E-3</v>
      </c>
      <c r="P77" s="11">
        <v>8.6538461538461543E-3</v>
      </c>
      <c r="Q77" s="11">
        <v>9.6153846153846159E-3</v>
      </c>
      <c r="R77" s="11">
        <v>8.0769230769230753E-3</v>
      </c>
      <c r="S77" s="15">
        <f>VLOOKUP(B77,[1]Sheet1!$C$3:$F$1048576,2,0)</f>
        <v>58928</v>
      </c>
      <c r="T77" s="15">
        <f>VLOOKUP(B77,[1]Sheet1!$C$3:$F$1048576,3,0)</f>
        <v>73610996001</v>
      </c>
      <c r="U77" s="15">
        <f>VLOOKUP(B77,[1]Sheet1!$C$3:$F$1048576,4,0)</f>
        <v>2150024917</v>
      </c>
      <c r="V77" s="19">
        <f t="shared" si="1"/>
        <v>1249168.4089227533</v>
      </c>
    </row>
    <row r="78" spans="1:22" x14ac:dyDescent="0.45">
      <c r="A78" s="2" t="s">
        <v>3</v>
      </c>
      <c r="B78" s="4">
        <v>1400000</v>
      </c>
      <c r="C78" s="5">
        <v>40000</v>
      </c>
      <c r="D78" s="5">
        <v>40000</v>
      </c>
      <c r="E78" s="5">
        <v>60000</v>
      </c>
      <c r="F78" s="5">
        <v>28000</v>
      </c>
      <c r="G78" s="7">
        <v>0.125</v>
      </c>
      <c r="H78" s="7">
        <v>0.125</v>
      </c>
      <c r="I78" s="7">
        <v>0.15</v>
      </c>
      <c r="J78" s="7">
        <v>0.11</v>
      </c>
      <c r="K78" s="9">
        <v>2.8571428571428571E-2</v>
      </c>
      <c r="L78" s="9">
        <v>2.8571428571428571E-2</v>
      </c>
      <c r="M78" s="9">
        <v>4.2857142857142858E-2</v>
      </c>
      <c r="N78" s="9">
        <v>0.02</v>
      </c>
      <c r="O78" s="11">
        <v>7.4175824175824155E-3</v>
      </c>
      <c r="P78" s="11">
        <v>7.4175824175824155E-3</v>
      </c>
      <c r="Q78" s="11">
        <v>8.2417582417582402E-3</v>
      </c>
      <c r="R78" s="11">
        <v>6.9230769230769242E-3</v>
      </c>
      <c r="S78" s="15">
        <f>VLOOKUP(B78,[1]Sheet1!$C$3:$F$1048576,2,0)</f>
        <v>53720</v>
      </c>
      <c r="T78" s="15">
        <f>VLOOKUP(B78,[1]Sheet1!$C$3:$F$1048576,3,0)</f>
        <v>72467367749</v>
      </c>
      <c r="U78" s="15">
        <f>VLOOKUP(B78,[1]Sheet1!$C$3:$F$1048576,4,0)</f>
        <v>2561019875</v>
      </c>
      <c r="V78" s="19">
        <f t="shared" si="1"/>
        <v>1348983.0184102755</v>
      </c>
    </row>
    <row r="79" spans="1:22" x14ac:dyDescent="0.45">
      <c r="A79" s="2" t="s">
        <v>3</v>
      </c>
      <c r="B79" s="4">
        <v>1500000</v>
      </c>
      <c r="C79" s="5">
        <v>52500</v>
      </c>
      <c r="D79" s="5">
        <v>52500</v>
      </c>
      <c r="E79" s="5">
        <v>75000</v>
      </c>
      <c r="F79" s="5">
        <v>39000</v>
      </c>
      <c r="G79" s="7">
        <v>0.125</v>
      </c>
      <c r="H79" s="7">
        <v>0.125</v>
      </c>
      <c r="I79" s="7">
        <v>0.15</v>
      </c>
      <c r="J79" s="7">
        <v>0.11</v>
      </c>
      <c r="K79" s="9">
        <v>3.5000000000000003E-2</v>
      </c>
      <c r="L79" s="9">
        <v>3.5000000000000003E-2</v>
      </c>
      <c r="M79" s="9">
        <v>0.05</v>
      </c>
      <c r="N79" s="9">
        <v>2.5999999999999999E-2</v>
      </c>
      <c r="O79" s="11">
        <v>6.4285714285714328E-3</v>
      </c>
      <c r="P79" s="11">
        <v>6.4285714285714328E-3</v>
      </c>
      <c r="Q79" s="11">
        <v>7.1428571428571452E-3</v>
      </c>
      <c r="R79" s="11">
        <v>5.9999999999999984E-3</v>
      </c>
      <c r="S79" s="15">
        <f>VLOOKUP(B79,[1]Sheet1!$C$3:$F$1048576,2,0)</f>
        <v>51660</v>
      </c>
      <c r="T79" s="15">
        <f>VLOOKUP(B79,[1]Sheet1!$C$3:$F$1048576,3,0)</f>
        <v>74946417814</v>
      </c>
      <c r="U79" s="15">
        <f>VLOOKUP(B79,[1]Sheet1!$C$3:$F$1048576,4,0)</f>
        <v>3143638227</v>
      </c>
      <c r="V79" s="19">
        <f t="shared" si="1"/>
        <v>1450763.0238869532</v>
      </c>
    </row>
    <row r="80" spans="1:22" x14ac:dyDescent="0.45">
      <c r="A80" s="2" t="s">
        <v>3</v>
      </c>
      <c r="B80" s="4">
        <v>1600000</v>
      </c>
      <c r="C80" s="5">
        <v>65000</v>
      </c>
      <c r="D80" s="5">
        <v>65000</v>
      </c>
      <c r="E80" s="5">
        <v>90000</v>
      </c>
      <c r="F80" s="5">
        <v>50000</v>
      </c>
      <c r="G80" s="7">
        <v>0.125</v>
      </c>
      <c r="H80" s="7">
        <v>0.125</v>
      </c>
      <c r="I80" s="7">
        <v>0.15</v>
      </c>
      <c r="J80" s="7">
        <v>0.11</v>
      </c>
      <c r="K80" s="9">
        <v>4.0625000000000001E-2</v>
      </c>
      <c r="L80" s="9">
        <v>4.0625000000000001E-2</v>
      </c>
      <c r="M80" s="9">
        <v>5.6250000000000001E-2</v>
      </c>
      <c r="N80" s="9">
        <v>3.125E-2</v>
      </c>
      <c r="O80" s="11">
        <v>5.6249999999999981E-3</v>
      </c>
      <c r="P80" s="11">
        <v>5.6249999999999981E-3</v>
      </c>
      <c r="Q80" s="11">
        <v>6.2499999999999986E-3</v>
      </c>
      <c r="R80" s="11">
        <v>5.2500000000000012E-3</v>
      </c>
      <c r="S80" s="15">
        <f>VLOOKUP(B80,[1]Sheet1!$C$3:$F$1048576,2,0)</f>
        <v>43207</v>
      </c>
      <c r="T80" s="15">
        <f>VLOOKUP(B80,[1]Sheet1!$C$3:$F$1048576,3,0)</f>
        <v>66930468930</v>
      </c>
      <c r="U80" s="15">
        <f>VLOOKUP(B80,[1]Sheet1!$C$3:$F$1048576,4,0)</f>
        <v>3141442898</v>
      </c>
      <c r="V80" s="19">
        <f t="shared" si="1"/>
        <v>1549065.4044483532</v>
      </c>
    </row>
    <row r="81" spans="1:22" x14ac:dyDescent="0.45">
      <c r="A81" s="2" t="s">
        <v>3</v>
      </c>
      <c r="B81" s="4">
        <v>1700000</v>
      </c>
      <c r="C81" s="5">
        <v>77500</v>
      </c>
      <c r="D81" s="5">
        <v>77500</v>
      </c>
      <c r="E81" s="5">
        <v>105000</v>
      </c>
      <c r="F81" s="5">
        <v>61000</v>
      </c>
      <c r="G81" s="7">
        <v>0.125</v>
      </c>
      <c r="H81" s="7">
        <v>0.125</v>
      </c>
      <c r="I81" s="7">
        <v>0.15</v>
      </c>
      <c r="J81" s="7">
        <v>0.11</v>
      </c>
      <c r="K81" s="9">
        <v>4.5588235294117645E-2</v>
      </c>
      <c r="L81" s="9">
        <v>4.5588235294117645E-2</v>
      </c>
      <c r="M81" s="9">
        <v>6.1764705882352944E-2</v>
      </c>
      <c r="N81" s="9">
        <v>3.5882352941176469E-2</v>
      </c>
      <c r="O81" s="11">
        <v>4.9632352941176433E-3</v>
      </c>
      <c r="P81" s="11">
        <v>4.9632352941176433E-3</v>
      </c>
      <c r="Q81" s="11">
        <v>5.5147058823529424E-3</v>
      </c>
      <c r="R81" s="11">
        <v>4.6323529411764694E-3</v>
      </c>
      <c r="S81" s="15">
        <f>VLOOKUP(B81,[1]Sheet1!$C$3:$F$1048576,2,0)</f>
        <v>37180</v>
      </c>
      <c r="T81" s="15">
        <f>VLOOKUP(B81,[1]Sheet1!$C$3:$F$1048576,3,0)</f>
        <v>61330508173</v>
      </c>
      <c r="U81" s="15">
        <f>VLOOKUP(B81,[1]Sheet1!$C$3:$F$1048576,4,0)</f>
        <v>3202734229</v>
      </c>
      <c r="V81" s="19">
        <f t="shared" si="1"/>
        <v>1649556.4328402367</v>
      </c>
    </row>
    <row r="82" spans="1:22" x14ac:dyDescent="0.45">
      <c r="A82" s="2" t="s">
        <v>3</v>
      </c>
      <c r="B82" s="4">
        <v>1800000</v>
      </c>
      <c r="C82" s="5">
        <v>90000</v>
      </c>
      <c r="D82" s="5">
        <v>90000</v>
      </c>
      <c r="E82" s="5">
        <v>120000</v>
      </c>
      <c r="F82" s="5">
        <v>72000</v>
      </c>
      <c r="G82" s="7">
        <v>0.125</v>
      </c>
      <c r="H82" s="7">
        <v>0.125</v>
      </c>
      <c r="I82" s="7">
        <v>0.15</v>
      </c>
      <c r="J82" s="7">
        <v>0.11</v>
      </c>
      <c r="K82" s="9">
        <v>0.05</v>
      </c>
      <c r="L82" s="9">
        <v>0.05</v>
      </c>
      <c r="M82" s="9">
        <v>6.6666666666666666E-2</v>
      </c>
      <c r="N82" s="9">
        <v>0.04</v>
      </c>
      <c r="O82" s="11">
        <v>4.4117647058823581E-3</v>
      </c>
      <c r="P82" s="11">
        <v>4.4117647058823581E-3</v>
      </c>
      <c r="Q82" s="11">
        <v>4.901960784313722E-3</v>
      </c>
      <c r="R82" s="11">
        <v>4.1176470588235314E-3</v>
      </c>
      <c r="S82" s="15">
        <f>VLOOKUP(B82,[1]Sheet1!$C$3:$F$1048576,2,0)</f>
        <v>36470</v>
      </c>
      <c r="T82" s="15">
        <f>VLOOKUP(B82,[1]Sheet1!$C$3:$F$1048576,3,0)</f>
        <v>64005411916</v>
      </c>
      <c r="U82" s="15">
        <f>VLOOKUP(B82,[1]Sheet1!$C$3:$F$1048576,4,0)</f>
        <v>3662609603</v>
      </c>
      <c r="V82" s="19">
        <f t="shared" si="1"/>
        <v>1755015.4076227036</v>
      </c>
    </row>
    <row r="83" spans="1:22" x14ac:dyDescent="0.45">
      <c r="A83" s="2" t="s">
        <v>3</v>
      </c>
      <c r="B83" s="4">
        <v>1900000</v>
      </c>
      <c r="C83" s="5">
        <v>102500</v>
      </c>
      <c r="D83" s="5">
        <v>102500</v>
      </c>
      <c r="E83" s="5">
        <v>135000</v>
      </c>
      <c r="F83" s="5">
        <v>83000</v>
      </c>
      <c r="G83" s="7">
        <v>0.125</v>
      </c>
      <c r="H83" s="7">
        <v>0.125</v>
      </c>
      <c r="I83" s="7">
        <v>0.15</v>
      </c>
      <c r="J83" s="7">
        <v>0.11</v>
      </c>
      <c r="K83" s="9">
        <v>5.3947368421052633E-2</v>
      </c>
      <c r="L83" s="9">
        <v>5.3947368421052633E-2</v>
      </c>
      <c r="M83" s="9">
        <v>7.1052631578947367E-2</v>
      </c>
      <c r="N83" s="9">
        <v>4.3684210526315791E-2</v>
      </c>
      <c r="O83" s="11">
        <v>3.94736842105263E-3</v>
      </c>
      <c r="P83" s="11">
        <v>3.94736842105263E-3</v>
      </c>
      <c r="Q83" s="11">
        <v>4.3859649122807015E-3</v>
      </c>
      <c r="R83" s="11">
        <v>3.6842105263157898E-3</v>
      </c>
      <c r="S83" s="15">
        <f>VLOOKUP(B83,[1]Sheet1!$C$3:$F$1048576,2,0)</f>
        <v>28923</v>
      </c>
      <c r="T83" s="15">
        <f>VLOOKUP(B83,[1]Sheet1!$C$3:$F$1048576,3,0)</f>
        <v>53472380659</v>
      </c>
      <c r="U83" s="15">
        <f>VLOOKUP(B83,[1]Sheet1!$C$3:$F$1048576,4,0)</f>
        <v>3269005678</v>
      </c>
      <c r="V83" s="19">
        <f t="shared" si="1"/>
        <v>1848784.0355080732</v>
      </c>
    </row>
    <row r="84" spans="1:22" x14ac:dyDescent="0.45">
      <c r="A84" s="2" t="s">
        <v>3</v>
      </c>
      <c r="B84" s="4">
        <v>2000000</v>
      </c>
      <c r="C84" s="5">
        <v>115000</v>
      </c>
      <c r="D84" s="5">
        <v>115000</v>
      </c>
      <c r="E84" s="5">
        <v>150000</v>
      </c>
      <c r="F84" s="5">
        <v>94000</v>
      </c>
      <c r="G84" s="7">
        <v>0.125</v>
      </c>
      <c r="H84" s="7">
        <v>0.125</v>
      </c>
      <c r="I84" s="7">
        <v>0.15</v>
      </c>
      <c r="J84" s="7">
        <v>0.11</v>
      </c>
      <c r="K84" s="9">
        <v>5.7500000000000002E-2</v>
      </c>
      <c r="L84" s="9">
        <v>5.7500000000000002E-2</v>
      </c>
      <c r="M84" s="9">
        <v>7.4999999999999997E-2</v>
      </c>
      <c r="N84" s="9">
        <v>4.7E-2</v>
      </c>
      <c r="O84" s="11">
        <v>3.5526315789473698E-3</v>
      </c>
      <c r="P84" s="11">
        <v>3.5526315789473698E-3</v>
      </c>
      <c r="Q84" s="11">
        <v>3.94736842105263E-3</v>
      </c>
      <c r="R84" s="11">
        <v>3.3157894736842095E-3</v>
      </c>
      <c r="S84" s="15">
        <f>VLOOKUP(B84,[1]Sheet1!$C$3:$F$1048576,2,0)</f>
        <v>28418</v>
      </c>
      <c r="T84" s="15">
        <f>VLOOKUP(B84,[1]Sheet1!$C$3:$F$1048576,3,0)</f>
        <v>55388885491</v>
      </c>
      <c r="U84" s="15">
        <f>VLOOKUP(B84,[1]Sheet1!$C$3:$F$1048576,4,0)</f>
        <v>3712382277</v>
      </c>
      <c r="V84" s="19">
        <f t="shared" si="1"/>
        <v>1949077.5385671053</v>
      </c>
    </row>
    <row r="85" spans="1:22" x14ac:dyDescent="0.45">
      <c r="A85" s="2" t="s">
        <v>3</v>
      </c>
      <c r="B85" s="4">
        <v>2100000</v>
      </c>
      <c r="C85" s="5">
        <v>127500</v>
      </c>
      <c r="D85" s="5">
        <v>127500</v>
      </c>
      <c r="E85" s="5">
        <v>165000</v>
      </c>
      <c r="F85" s="5">
        <v>105000</v>
      </c>
      <c r="G85" s="7">
        <v>0.125</v>
      </c>
      <c r="H85" s="7">
        <v>0.125</v>
      </c>
      <c r="I85" s="7">
        <v>0.15</v>
      </c>
      <c r="J85" s="7">
        <v>0.11</v>
      </c>
      <c r="K85" s="9">
        <v>6.0714285714285714E-2</v>
      </c>
      <c r="L85" s="9">
        <v>6.0714285714285714E-2</v>
      </c>
      <c r="M85" s="9">
        <v>7.857142857142857E-2</v>
      </c>
      <c r="N85" s="9">
        <v>0.05</v>
      </c>
      <c r="O85" s="11">
        <v>3.2142857142857112E-3</v>
      </c>
      <c r="P85" s="11">
        <v>3.2142857142857112E-3</v>
      </c>
      <c r="Q85" s="11">
        <v>3.5714285714285726E-3</v>
      </c>
      <c r="R85" s="11">
        <v>3.0000000000000027E-3</v>
      </c>
      <c r="S85" s="15">
        <f>VLOOKUP(B85,[1]Sheet1!$C$3:$F$1048576,2,0)</f>
        <v>25442</v>
      </c>
      <c r="T85" s="15">
        <f>VLOOKUP(B85,[1]Sheet1!$C$3:$F$1048576,3,0)</f>
        <v>52189315033</v>
      </c>
      <c r="U85" s="15">
        <f>VLOOKUP(B85,[1]Sheet1!$C$3:$F$1048576,4,0)</f>
        <v>3596842091</v>
      </c>
      <c r="V85" s="19">
        <f t="shared" si="1"/>
        <v>2051305.5197311533</v>
      </c>
    </row>
    <row r="86" spans="1:22" x14ac:dyDescent="0.45">
      <c r="A86" s="2" t="s">
        <v>3</v>
      </c>
      <c r="B86" s="4">
        <v>2200000</v>
      </c>
      <c r="C86" s="5">
        <v>140000</v>
      </c>
      <c r="D86" s="5">
        <v>140000</v>
      </c>
      <c r="E86" s="5">
        <v>180000</v>
      </c>
      <c r="F86" s="5">
        <v>116000</v>
      </c>
      <c r="G86" s="7">
        <v>0.125</v>
      </c>
      <c r="H86" s="7">
        <v>0.125</v>
      </c>
      <c r="I86" s="7">
        <v>0.15</v>
      </c>
      <c r="J86" s="7">
        <v>0.11</v>
      </c>
      <c r="K86" s="9">
        <v>6.363636363636363E-2</v>
      </c>
      <c r="L86" s="9">
        <v>6.363636363636363E-2</v>
      </c>
      <c r="M86" s="9">
        <v>8.1818181818181818E-2</v>
      </c>
      <c r="N86" s="9">
        <v>5.2727272727272727E-2</v>
      </c>
      <c r="O86" s="11">
        <v>2.9220779220779161E-3</v>
      </c>
      <c r="P86" s="11">
        <v>2.9220779220779161E-3</v>
      </c>
      <c r="Q86" s="11">
        <v>3.2467532467532478E-3</v>
      </c>
      <c r="R86" s="11">
        <v>2.727272727272724E-3</v>
      </c>
      <c r="S86" s="15">
        <f>VLOOKUP(B86,[1]Sheet1!$C$3:$F$1048576,2,0)</f>
        <v>23397</v>
      </c>
      <c r="T86" s="15">
        <f>VLOOKUP(B86,[1]Sheet1!$C$3:$F$1048576,3,0)</f>
        <v>50310555719</v>
      </c>
      <c r="U86" s="15">
        <f>VLOOKUP(B86,[1]Sheet1!$C$3:$F$1048576,4,0)</f>
        <v>3629109629</v>
      </c>
      <c r="V86" s="19">
        <f t="shared" si="1"/>
        <v>2150299.4280890711</v>
      </c>
    </row>
    <row r="87" spans="1:22" x14ac:dyDescent="0.45">
      <c r="A87" s="2" t="s">
        <v>3</v>
      </c>
      <c r="B87" s="4">
        <v>2300000</v>
      </c>
      <c r="C87" s="5">
        <v>152500</v>
      </c>
      <c r="D87" s="5">
        <v>152500</v>
      </c>
      <c r="E87" s="5">
        <v>205000</v>
      </c>
      <c r="F87" s="5">
        <v>139000</v>
      </c>
      <c r="G87" s="7">
        <v>0.125</v>
      </c>
      <c r="H87" s="7">
        <v>0.125</v>
      </c>
      <c r="I87" s="7">
        <v>0.25</v>
      </c>
      <c r="J87" s="7">
        <v>0.23</v>
      </c>
      <c r="K87" s="9">
        <v>6.6304347826086962E-2</v>
      </c>
      <c r="L87" s="9">
        <v>6.6304347826086962E-2</v>
      </c>
      <c r="M87" s="9">
        <v>8.9130434782608695E-2</v>
      </c>
      <c r="N87" s="9">
        <v>6.0434782608695649E-2</v>
      </c>
      <c r="O87" s="11">
        <v>2.6679841897233325E-3</v>
      </c>
      <c r="P87" s="11">
        <v>2.6679841897233325E-3</v>
      </c>
      <c r="Q87" s="11">
        <v>7.3122529644268769E-3</v>
      </c>
      <c r="R87" s="11">
        <v>7.707509881422922E-3</v>
      </c>
      <c r="S87" s="15">
        <f>VLOOKUP(B87,[1]Sheet1!$C$3:$F$1048576,2,0)</f>
        <v>21378</v>
      </c>
      <c r="T87" s="15">
        <f>VLOOKUP(B87,[1]Sheet1!$C$3:$F$1048576,3,0)</f>
        <v>48097828564</v>
      </c>
      <c r="U87" s="15">
        <f>VLOOKUP(B87,[1]Sheet1!$C$3:$F$1048576,4,0)</f>
        <v>3700531733</v>
      </c>
      <c r="V87" s="19">
        <f t="shared" si="1"/>
        <v>2249875.0380765274</v>
      </c>
    </row>
    <row r="88" spans="1:22" x14ac:dyDescent="0.45">
      <c r="A88" s="2" t="s">
        <v>3</v>
      </c>
      <c r="B88" s="4">
        <v>2400000</v>
      </c>
      <c r="C88" s="5">
        <v>165000</v>
      </c>
      <c r="D88" s="5">
        <v>165000</v>
      </c>
      <c r="E88" s="5">
        <v>230000</v>
      </c>
      <c r="F88" s="5">
        <v>162000</v>
      </c>
      <c r="G88" s="7">
        <v>0.125</v>
      </c>
      <c r="H88" s="7">
        <v>0.125</v>
      </c>
      <c r="I88" s="7">
        <v>0.25</v>
      </c>
      <c r="J88" s="7">
        <v>0.23</v>
      </c>
      <c r="K88" s="9">
        <v>6.8750000000000006E-2</v>
      </c>
      <c r="L88" s="9">
        <v>6.8750000000000006E-2</v>
      </c>
      <c r="M88" s="9">
        <v>9.583333333333334E-2</v>
      </c>
      <c r="N88" s="9">
        <v>6.7500000000000004E-2</v>
      </c>
      <c r="O88" s="11">
        <v>2.4456521739130432E-3</v>
      </c>
      <c r="P88" s="11">
        <v>2.4456521739130432E-3</v>
      </c>
      <c r="Q88" s="11">
        <v>6.7028985507246452E-3</v>
      </c>
      <c r="R88" s="11">
        <v>7.0652173913043556E-3</v>
      </c>
      <c r="S88" s="15">
        <f>VLOOKUP(B88,[1]Sheet1!$C$3:$F$1048576,2,0)</f>
        <v>23410</v>
      </c>
      <c r="T88" s="15">
        <f>VLOOKUP(B88,[1]Sheet1!$C$3:$F$1048576,3,0)</f>
        <v>55203762999</v>
      </c>
      <c r="U88" s="15">
        <f>VLOOKUP(B88,[1]Sheet1!$C$3:$F$1048576,4,0)</f>
        <v>4442818558</v>
      </c>
      <c r="V88" s="19">
        <f t="shared" si="1"/>
        <v>2358127.4241349851</v>
      </c>
    </row>
    <row r="89" spans="1:22" x14ac:dyDescent="0.45">
      <c r="A89" s="2" t="s">
        <v>3</v>
      </c>
      <c r="B89" s="4">
        <v>2500000</v>
      </c>
      <c r="C89" s="5">
        <v>185000</v>
      </c>
      <c r="D89" s="5">
        <v>187500</v>
      </c>
      <c r="E89" s="5">
        <v>255000</v>
      </c>
      <c r="F89" s="5">
        <v>185000</v>
      </c>
      <c r="G89" s="7">
        <v>0.2</v>
      </c>
      <c r="H89" s="7">
        <v>0.22500000000000001</v>
      </c>
      <c r="I89" s="7">
        <v>0.25</v>
      </c>
      <c r="J89" s="7">
        <v>0.23</v>
      </c>
      <c r="K89" s="9">
        <v>7.3999999999999996E-2</v>
      </c>
      <c r="L89" s="9">
        <v>7.4999999999999997E-2</v>
      </c>
      <c r="M89" s="9">
        <v>0.10199999999999999</v>
      </c>
      <c r="N89" s="9">
        <v>7.3999999999999996E-2</v>
      </c>
      <c r="O89" s="11">
        <v>5.2499999999999908E-3</v>
      </c>
      <c r="P89" s="11">
        <v>6.2499999999999917E-3</v>
      </c>
      <c r="Q89" s="11">
        <v>6.1666666666666536E-3</v>
      </c>
      <c r="R89" s="11">
        <v>6.4999999999999919E-3</v>
      </c>
      <c r="S89" s="15">
        <f>VLOOKUP(B89,[1]Sheet1!$C$3:$F$1048576,2,0)</f>
        <v>17904</v>
      </c>
      <c r="T89" s="15">
        <f>VLOOKUP(B89,[1]Sheet1!$C$3:$F$1048576,3,0)</f>
        <v>43859659626</v>
      </c>
      <c r="U89" s="15">
        <f>VLOOKUP(B89,[1]Sheet1!$C$3:$F$1048576,4,0)</f>
        <v>3739759067</v>
      </c>
      <c r="V89" s="19">
        <f t="shared" si="1"/>
        <v>2449712.8924262733</v>
      </c>
    </row>
    <row r="90" spans="1:22" x14ac:dyDescent="0.45">
      <c r="A90" s="2" t="s">
        <v>3</v>
      </c>
      <c r="B90" s="4">
        <v>2600000</v>
      </c>
      <c r="C90" s="5">
        <v>205000</v>
      </c>
      <c r="D90" s="5">
        <v>210000</v>
      </c>
      <c r="E90" s="5">
        <v>280000</v>
      </c>
      <c r="F90" s="5">
        <v>208000</v>
      </c>
      <c r="G90" s="7">
        <v>0.2</v>
      </c>
      <c r="H90" s="7">
        <v>0.22500000000000001</v>
      </c>
      <c r="I90" s="7">
        <v>0.25</v>
      </c>
      <c r="J90" s="7">
        <v>0.23</v>
      </c>
      <c r="K90" s="9">
        <v>7.8846153846153844E-2</v>
      </c>
      <c r="L90" s="9">
        <v>8.0769230769230774E-2</v>
      </c>
      <c r="M90" s="9">
        <v>0.1076923076923077</v>
      </c>
      <c r="N90" s="9">
        <v>0.08</v>
      </c>
      <c r="O90" s="11">
        <v>4.8461538461538473E-3</v>
      </c>
      <c r="P90" s="11">
        <v>5.7692307692307765E-3</v>
      </c>
      <c r="Q90" s="11">
        <v>5.6923076923077048E-3</v>
      </c>
      <c r="R90" s="11">
        <v>6.0000000000000053E-3</v>
      </c>
      <c r="S90" s="15">
        <f>VLOOKUP(B90,[1]Sheet1!$C$3:$F$1048576,2,0)</f>
        <v>17368</v>
      </c>
      <c r="T90" s="15">
        <f>VLOOKUP(B90,[1]Sheet1!$C$3:$F$1048576,3,0)</f>
        <v>44275658802</v>
      </c>
      <c r="U90" s="15">
        <f>VLOOKUP(B90,[1]Sheet1!$C$3:$F$1048576,4,0)</f>
        <v>3978407548</v>
      </c>
      <c r="V90" s="19">
        <f t="shared" si="1"/>
        <v>2549266.3980884384</v>
      </c>
    </row>
    <row r="91" spans="1:22" x14ac:dyDescent="0.45">
      <c r="A91" s="2" t="s">
        <v>3</v>
      </c>
      <c r="B91" s="4">
        <v>2700000</v>
      </c>
      <c r="C91" s="5">
        <v>225000</v>
      </c>
      <c r="D91" s="5">
        <v>232500</v>
      </c>
      <c r="E91" s="5">
        <v>305000</v>
      </c>
      <c r="F91" s="5">
        <v>231000</v>
      </c>
      <c r="G91" s="7">
        <v>0.2</v>
      </c>
      <c r="H91" s="7">
        <v>0.22500000000000001</v>
      </c>
      <c r="I91" s="7">
        <v>0.25</v>
      </c>
      <c r="J91" s="7">
        <v>0.23</v>
      </c>
      <c r="K91" s="9">
        <v>8.3333333333333329E-2</v>
      </c>
      <c r="L91" s="9">
        <v>8.611111111111111E-2</v>
      </c>
      <c r="M91" s="9">
        <v>0.11296296296296296</v>
      </c>
      <c r="N91" s="9">
        <v>8.5555555555555551E-2</v>
      </c>
      <c r="O91" s="11">
        <v>4.4871794871794851E-3</v>
      </c>
      <c r="P91" s="11">
        <v>5.3418803418803368E-3</v>
      </c>
      <c r="Q91" s="11">
        <v>5.2706552706552612E-3</v>
      </c>
      <c r="R91" s="11">
        <v>5.5555555555555497E-3</v>
      </c>
      <c r="S91" s="15">
        <f>VLOOKUP(B91,[1]Sheet1!$C$3:$F$1048576,2,0)</f>
        <v>16235</v>
      </c>
      <c r="T91" s="15">
        <f>VLOOKUP(B91,[1]Sheet1!$C$3:$F$1048576,3,0)</f>
        <v>43052548552</v>
      </c>
      <c r="U91" s="15">
        <f>VLOOKUP(B91,[1]Sheet1!$C$3:$F$1048576,4,0)</f>
        <v>4046394051</v>
      </c>
      <c r="V91" s="19">
        <f t="shared" si="1"/>
        <v>2651835.4513089005</v>
      </c>
    </row>
    <row r="92" spans="1:22" x14ac:dyDescent="0.45">
      <c r="A92" s="2" t="s">
        <v>3</v>
      </c>
      <c r="B92" s="4">
        <v>2800000</v>
      </c>
      <c r="C92" s="5">
        <v>245000</v>
      </c>
      <c r="D92" s="5">
        <v>255000</v>
      </c>
      <c r="E92" s="5">
        <v>330000</v>
      </c>
      <c r="F92" s="5">
        <v>254000</v>
      </c>
      <c r="G92" s="7">
        <v>0.2</v>
      </c>
      <c r="H92" s="7">
        <v>0.22500000000000001</v>
      </c>
      <c r="I92" s="7">
        <v>0.25</v>
      </c>
      <c r="J92" s="7">
        <v>0.23</v>
      </c>
      <c r="K92" s="9">
        <v>8.7499999999999994E-2</v>
      </c>
      <c r="L92" s="9">
        <v>9.1071428571428567E-2</v>
      </c>
      <c r="M92" s="9">
        <v>0.11785714285714285</v>
      </c>
      <c r="N92" s="9">
        <v>9.071428571428572E-2</v>
      </c>
      <c r="O92" s="11">
        <v>4.1666666666666657E-3</v>
      </c>
      <c r="P92" s="11">
        <v>4.9603174603174566E-3</v>
      </c>
      <c r="Q92" s="11">
        <v>4.8941798941798953E-3</v>
      </c>
      <c r="R92" s="11">
        <v>5.1587301587301682E-3</v>
      </c>
      <c r="S92" s="15">
        <f>VLOOKUP(B92,[1]Sheet1!$C$3:$F$1048576,2,0)</f>
        <v>14784</v>
      </c>
      <c r="T92" s="15">
        <f>VLOOKUP(B92,[1]Sheet1!$C$3:$F$1048576,3,0)</f>
        <v>40648879607</v>
      </c>
      <c r="U92" s="15">
        <f>VLOOKUP(B92,[1]Sheet1!$C$3:$F$1048576,4,0)</f>
        <v>3979460724</v>
      </c>
      <c r="V92" s="19">
        <f t="shared" si="1"/>
        <v>2749518.371685606</v>
      </c>
    </row>
    <row r="93" spans="1:22" x14ac:dyDescent="0.45">
      <c r="A93" s="2" t="s">
        <v>3</v>
      </c>
      <c r="B93" s="4">
        <v>2900000</v>
      </c>
      <c r="C93" s="5">
        <v>265000</v>
      </c>
      <c r="D93" s="5">
        <v>277500</v>
      </c>
      <c r="E93" s="5">
        <v>355000</v>
      </c>
      <c r="F93" s="5">
        <v>277000</v>
      </c>
      <c r="G93" s="7">
        <v>0.2</v>
      </c>
      <c r="H93" s="7">
        <v>0.22500000000000001</v>
      </c>
      <c r="I93" s="7">
        <v>0.25</v>
      </c>
      <c r="J93" s="7">
        <v>0.23</v>
      </c>
      <c r="K93" s="9">
        <v>9.1379310344827588E-2</v>
      </c>
      <c r="L93" s="9">
        <v>9.568965517241379E-2</v>
      </c>
      <c r="M93" s="9">
        <v>0.12241379310344827</v>
      </c>
      <c r="N93" s="9">
        <v>9.551724137931035E-2</v>
      </c>
      <c r="O93" s="11">
        <v>3.879310344827594E-3</v>
      </c>
      <c r="P93" s="11">
        <v>4.618226600985223E-3</v>
      </c>
      <c r="Q93" s="11">
        <v>4.5566502463054159E-3</v>
      </c>
      <c r="R93" s="11">
        <v>4.8029556650246302E-3</v>
      </c>
      <c r="S93" s="15">
        <f>VLOOKUP(B93,[1]Sheet1!$C$3:$F$1048576,2,0)</f>
        <v>13961</v>
      </c>
      <c r="T93" s="15">
        <f>VLOOKUP(B93,[1]Sheet1!$C$3:$F$1048576,3,0)</f>
        <v>39792174452</v>
      </c>
      <c r="U93" s="15">
        <f>VLOOKUP(B93,[1]Sheet1!$C$3:$F$1048576,4,0)</f>
        <v>4071639826</v>
      </c>
      <c r="V93" s="19">
        <f t="shared" si="1"/>
        <v>2850238.1242031371</v>
      </c>
    </row>
    <row r="94" spans="1:22" x14ac:dyDescent="0.45">
      <c r="A94" s="2" t="s">
        <v>3</v>
      </c>
      <c r="B94" s="4">
        <v>3000000</v>
      </c>
      <c r="C94" s="5">
        <v>285000</v>
      </c>
      <c r="D94" s="5">
        <v>300000</v>
      </c>
      <c r="E94" s="5">
        <v>380000</v>
      </c>
      <c r="F94" s="5">
        <v>300000</v>
      </c>
      <c r="G94" s="7">
        <v>0.2</v>
      </c>
      <c r="H94" s="7">
        <v>0.22500000000000001</v>
      </c>
      <c r="I94" s="7">
        <v>0.25</v>
      </c>
      <c r="J94" s="7">
        <v>0.23</v>
      </c>
      <c r="K94" s="9">
        <v>9.5000000000000001E-2</v>
      </c>
      <c r="L94" s="9">
        <v>0.1</v>
      </c>
      <c r="M94" s="9">
        <v>0.12666666666666668</v>
      </c>
      <c r="N94" s="9">
        <v>0.1</v>
      </c>
      <c r="O94" s="11">
        <v>3.6206896551724127E-3</v>
      </c>
      <c r="P94" s="11">
        <v>4.3103448275862155E-3</v>
      </c>
      <c r="Q94" s="11">
        <v>4.2528735632184067E-3</v>
      </c>
      <c r="R94" s="11">
        <v>4.4827586206896558E-3</v>
      </c>
      <c r="S94" s="15">
        <f>VLOOKUP(B94,[1]Sheet1!$C$3:$F$1048576,2,0)</f>
        <v>14696</v>
      </c>
      <c r="T94" s="15">
        <f>VLOOKUP(B94,[1]Sheet1!$C$3:$F$1048576,3,0)</f>
        <v>43442281739</v>
      </c>
      <c r="U94" s="15">
        <f>VLOOKUP(B94,[1]Sheet1!$C$3:$F$1048576,4,0)</f>
        <v>4580496212</v>
      </c>
      <c r="V94" s="19">
        <f t="shared" si="1"/>
        <v>2956061.631668481</v>
      </c>
    </row>
    <row r="95" spans="1:22" x14ac:dyDescent="0.45">
      <c r="A95" s="2" t="s">
        <v>3</v>
      </c>
      <c r="B95" s="4">
        <v>3100000</v>
      </c>
      <c r="C95" s="5">
        <v>305000</v>
      </c>
      <c r="D95" s="5">
        <v>322500</v>
      </c>
      <c r="E95" s="5">
        <v>405000</v>
      </c>
      <c r="F95" s="5">
        <v>323000</v>
      </c>
      <c r="G95" s="7">
        <v>0.2</v>
      </c>
      <c r="H95" s="7">
        <v>0.22500000000000001</v>
      </c>
      <c r="I95" s="7">
        <v>0.25</v>
      </c>
      <c r="J95" s="7">
        <v>0.23</v>
      </c>
      <c r="K95" s="9">
        <v>9.838709677419355E-2</v>
      </c>
      <c r="L95" s="9">
        <v>0.10403225806451613</v>
      </c>
      <c r="M95" s="9">
        <v>0.13064516129032258</v>
      </c>
      <c r="N95" s="9">
        <v>0.10419354838709677</v>
      </c>
      <c r="O95" s="11">
        <v>3.3870967741935487E-3</v>
      </c>
      <c r="P95" s="11">
        <v>4.0322580645161255E-3</v>
      </c>
      <c r="Q95" s="11">
        <v>3.9784946236559038E-3</v>
      </c>
      <c r="R95" s="11">
        <v>4.1935483870967627E-3</v>
      </c>
      <c r="S95" s="15">
        <f>VLOOKUP(B95,[1]Sheet1!$C$3:$F$1048576,2,0)</f>
        <v>11423</v>
      </c>
      <c r="T95" s="15">
        <f>VLOOKUP(B95,[1]Sheet1!$C$3:$F$1048576,3,0)</f>
        <v>34837268087</v>
      </c>
      <c r="U95" s="15">
        <f>VLOOKUP(B95,[1]Sheet1!$C$3:$F$1048576,4,0)</f>
        <v>3835969634</v>
      </c>
      <c r="V95" s="19">
        <f t="shared" si="1"/>
        <v>3049747.70962094</v>
      </c>
    </row>
    <row r="96" spans="1:22" x14ac:dyDescent="0.45">
      <c r="A96" s="2" t="s">
        <v>3</v>
      </c>
      <c r="B96" s="4">
        <v>3200000</v>
      </c>
      <c r="C96" s="5">
        <v>325000</v>
      </c>
      <c r="D96" s="5">
        <v>345000</v>
      </c>
      <c r="E96" s="5">
        <v>430000</v>
      </c>
      <c r="F96" s="5">
        <v>346000</v>
      </c>
      <c r="G96" s="7">
        <v>0.2</v>
      </c>
      <c r="H96" s="7">
        <v>0.22500000000000001</v>
      </c>
      <c r="I96" s="7">
        <v>0.25</v>
      </c>
      <c r="J96" s="7">
        <v>0.23</v>
      </c>
      <c r="K96" s="9">
        <v>0.1015625</v>
      </c>
      <c r="L96" s="9">
        <v>0.10781250000000001</v>
      </c>
      <c r="M96" s="9">
        <v>0.13437499999999999</v>
      </c>
      <c r="N96" s="9">
        <v>0.108125</v>
      </c>
      <c r="O96" s="11">
        <v>3.1754032258064502E-3</v>
      </c>
      <c r="P96" s="11">
        <v>3.7802419354838745E-3</v>
      </c>
      <c r="Q96" s="11">
        <v>3.7298387096774133E-3</v>
      </c>
      <c r="R96" s="11">
        <v>3.9314516129032306E-3</v>
      </c>
      <c r="S96" s="15">
        <f>VLOOKUP(B96,[1]Sheet1!$C$3:$F$1048576,2,0)</f>
        <v>11341</v>
      </c>
      <c r="T96" s="15">
        <f>VLOOKUP(B96,[1]Sheet1!$C$3:$F$1048576,3,0)</f>
        <v>35718768319</v>
      </c>
      <c r="U96" s="15">
        <f>VLOOKUP(B96,[1]Sheet1!$C$3:$F$1048576,4,0)</f>
        <v>4033237068</v>
      </c>
      <c r="V96" s="19">
        <f t="shared" si="1"/>
        <v>3149525.4668018692</v>
      </c>
    </row>
    <row r="97" spans="1:22" x14ac:dyDescent="0.45">
      <c r="A97" s="2" t="s">
        <v>3</v>
      </c>
      <c r="B97" s="4">
        <v>3300000</v>
      </c>
      <c r="C97" s="5">
        <v>345000</v>
      </c>
      <c r="D97" s="5">
        <v>367500</v>
      </c>
      <c r="E97" s="5">
        <v>460000</v>
      </c>
      <c r="F97" s="5">
        <v>376000</v>
      </c>
      <c r="G97" s="7">
        <v>0.2</v>
      </c>
      <c r="H97" s="7">
        <v>0.22500000000000001</v>
      </c>
      <c r="I97" s="7">
        <v>0.3</v>
      </c>
      <c r="J97" s="7">
        <v>0.3</v>
      </c>
      <c r="K97" s="9">
        <v>0.10454545454545454</v>
      </c>
      <c r="L97" s="9">
        <v>0.11136363636363636</v>
      </c>
      <c r="M97" s="9">
        <v>0.1393939393939394</v>
      </c>
      <c r="N97" s="9">
        <v>0.11393939393939394</v>
      </c>
      <c r="O97" s="11">
        <v>2.9829545454545386E-3</v>
      </c>
      <c r="P97" s="11">
        <v>3.5511363636363535E-3</v>
      </c>
      <c r="Q97" s="11">
        <v>5.0189393939394089E-3</v>
      </c>
      <c r="R97" s="11">
        <v>5.8143939393939387E-3</v>
      </c>
      <c r="S97" s="15">
        <f>VLOOKUP(B97,[1]Sheet1!$C$3:$F$1048576,2,0)</f>
        <v>10869</v>
      </c>
      <c r="T97" s="15">
        <f>VLOOKUP(B97,[1]Sheet1!$C$3:$F$1048576,3,0)</f>
        <v>35337597643</v>
      </c>
      <c r="U97" s="15">
        <f>VLOOKUP(B97,[1]Sheet1!$C$3:$F$1048576,4,0)</f>
        <v>4136464125</v>
      </c>
      <c r="V97" s="19">
        <f t="shared" si="1"/>
        <v>3251228.0470144446</v>
      </c>
    </row>
    <row r="98" spans="1:22" x14ac:dyDescent="0.45">
      <c r="A98" s="2" t="s">
        <v>3</v>
      </c>
      <c r="B98" s="4">
        <v>3400000</v>
      </c>
      <c r="C98" s="5">
        <v>365000</v>
      </c>
      <c r="D98" s="5">
        <v>390000</v>
      </c>
      <c r="E98" s="5">
        <v>490000</v>
      </c>
      <c r="F98" s="5">
        <v>406000</v>
      </c>
      <c r="G98" s="7">
        <v>0.2</v>
      </c>
      <c r="H98" s="7">
        <v>0.22500000000000001</v>
      </c>
      <c r="I98" s="7">
        <v>0.3</v>
      </c>
      <c r="J98" s="7">
        <v>0.3</v>
      </c>
      <c r="K98" s="9">
        <v>0.10735294117647058</v>
      </c>
      <c r="L98" s="9">
        <v>0.11470588235294117</v>
      </c>
      <c r="M98" s="9">
        <v>0.14411764705882352</v>
      </c>
      <c r="N98" s="9">
        <v>0.11941176470588236</v>
      </c>
      <c r="O98" s="11">
        <v>2.8074866310160429E-3</v>
      </c>
      <c r="P98" s="11">
        <v>3.3422459893048123E-3</v>
      </c>
      <c r="Q98" s="11">
        <v>4.7237076648841136E-3</v>
      </c>
      <c r="R98" s="11">
        <v>5.4723707664884186E-3</v>
      </c>
      <c r="S98" s="15">
        <f>VLOOKUP(B98,[1]Sheet1!$C$3:$F$1048576,2,0)</f>
        <v>9816</v>
      </c>
      <c r="T98" s="15">
        <f>VLOOKUP(B98,[1]Sheet1!$C$3:$F$1048576,3,0)</f>
        <v>32877408521</v>
      </c>
      <c r="U98" s="15">
        <f>VLOOKUP(B98,[1]Sheet1!$C$3:$F$1048576,4,0)</f>
        <v>3932687399</v>
      </c>
      <c r="V98" s="19">
        <f t="shared" si="1"/>
        <v>3349369.2462306437</v>
      </c>
    </row>
    <row r="99" spans="1:22" x14ac:dyDescent="0.45">
      <c r="A99" s="2" t="s">
        <v>3</v>
      </c>
      <c r="B99" s="4">
        <v>3500000</v>
      </c>
      <c r="C99" s="5">
        <v>385000</v>
      </c>
      <c r="D99" s="5">
        <v>412500</v>
      </c>
      <c r="E99" s="5">
        <v>520000</v>
      </c>
      <c r="F99" s="5">
        <v>436000</v>
      </c>
      <c r="G99" s="7">
        <v>0.2</v>
      </c>
      <c r="H99" s="7">
        <v>0.22500000000000001</v>
      </c>
      <c r="I99" s="7">
        <v>0.3</v>
      </c>
      <c r="J99" s="7">
        <v>0.3</v>
      </c>
      <c r="K99" s="9">
        <v>0.11</v>
      </c>
      <c r="L99" s="9">
        <v>0.11785714285714285</v>
      </c>
      <c r="M99" s="9">
        <v>0.14857142857142858</v>
      </c>
      <c r="N99" s="9">
        <v>0.12457142857142857</v>
      </c>
      <c r="O99" s="11">
        <v>2.647058823529419E-3</v>
      </c>
      <c r="P99" s="11">
        <v>3.1512605042016834E-3</v>
      </c>
      <c r="Q99" s="11">
        <v>4.4537815126050595E-3</v>
      </c>
      <c r="R99" s="11">
        <v>5.1596638655462129E-3</v>
      </c>
      <c r="S99" s="15">
        <f>VLOOKUP(B99,[1]Sheet1!$C$3:$F$1048576,2,0)</f>
        <v>9172</v>
      </c>
      <c r="T99" s="15">
        <f>VLOOKUP(B99,[1]Sheet1!$C$3:$F$1048576,3,0)</f>
        <v>31640694201</v>
      </c>
      <c r="U99" s="15">
        <f>VLOOKUP(B99,[1]Sheet1!$C$3:$F$1048576,4,0)</f>
        <v>3927521898</v>
      </c>
      <c r="V99" s="19">
        <f t="shared" si="1"/>
        <v>3449704.9935673792</v>
      </c>
    </row>
    <row r="100" spans="1:22" x14ac:dyDescent="0.45">
      <c r="A100" s="2" t="s">
        <v>3</v>
      </c>
      <c r="B100" s="4">
        <v>3600000</v>
      </c>
      <c r="C100" s="5">
        <v>405000</v>
      </c>
      <c r="D100" s="5">
        <v>435000</v>
      </c>
      <c r="E100" s="5">
        <v>550000</v>
      </c>
      <c r="F100" s="5">
        <v>466000</v>
      </c>
      <c r="G100" s="7">
        <v>0.2</v>
      </c>
      <c r="H100" s="7">
        <v>0.22500000000000001</v>
      </c>
      <c r="I100" s="7">
        <v>0.3</v>
      </c>
      <c r="J100" s="7">
        <v>0.3</v>
      </c>
      <c r="K100" s="9">
        <v>0.1125</v>
      </c>
      <c r="L100" s="9">
        <v>0.12083333333333333</v>
      </c>
      <c r="M100" s="9">
        <v>0.15277777777777779</v>
      </c>
      <c r="N100" s="9">
        <v>0.12944444444444445</v>
      </c>
      <c r="O100" s="11">
        <v>2.5000000000000022E-3</v>
      </c>
      <c r="P100" s="11">
        <v>2.9761904761904795E-3</v>
      </c>
      <c r="Q100" s="11">
        <v>4.2063492063492136E-3</v>
      </c>
      <c r="R100" s="11">
        <v>4.8730158730158762E-3</v>
      </c>
      <c r="S100" s="15">
        <f>VLOOKUP(B100,[1]Sheet1!$C$3:$F$1048576,2,0)</f>
        <v>10756</v>
      </c>
      <c r="T100" s="15">
        <f>VLOOKUP(B100,[1]Sheet1!$C$3:$F$1048576,3,0)</f>
        <v>38283127650</v>
      </c>
      <c r="U100" s="15">
        <f>VLOOKUP(B100,[1]Sheet1!$C$3:$F$1048576,4,0)</f>
        <v>4770492128</v>
      </c>
      <c r="V100" s="19">
        <f t="shared" si="1"/>
        <v>3559234.6271848269</v>
      </c>
    </row>
    <row r="101" spans="1:22" x14ac:dyDescent="0.45">
      <c r="A101" s="2" t="s">
        <v>3</v>
      </c>
      <c r="B101" s="4">
        <v>3700000</v>
      </c>
      <c r="C101" s="5">
        <v>430000</v>
      </c>
      <c r="D101" s="5">
        <v>462500</v>
      </c>
      <c r="E101" s="5">
        <v>580000</v>
      </c>
      <c r="F101" s="5">
        <v>496000</v>
      </c>
      <c r="G101" s="7">
        <v>0.25</v>
      </c>
      <c r="H101" s="7">
        <v>0.27500000000000002</v>
      </c>
      <c r="I101" s="7">
        <v>0.3</v>
      </c>
      <c r="J101" s="7">
        <v>0.3</v>
      </c>
      <c r="K101" s="9">
        <v>0.11621621621621622</v>
      </c>
      <c r="L101" s="9">
        <v>0.125</v>
      </c>
      <c r="M101" s="9">
        <v>0.15675675675675677</v>
      </c>
      <c r="N101" s="9">
        <v>0.13405405405405404</v>
      </c>
      <c r="O101" s="11">
        <v>3.7162162162162199E-3</v>
      </c>
      <c r="P101" s="11">
        <v>4.1666666666666657E-3</v>
      </c>
      <c r="Q101" s="11">
        <v>3.9789789789789753E-3</v>
      </c>
      <c r="R101" s="11">
        <v>4.6096096096095995E-3</v>
      </c>
      <c r="S101" s="15">
        <f>VLOOKUP(B101,[1]Sheet1!$C$3:$F$1048576,2,0)</f>
        <v>7832</v>
      </c>
      <c r="T101" s="15">
        <f>VLOOKUP(B101,[1]Sheet1!$C$3:$F$1048576,3,0)</f>
        <v>28590561162</v>
      </c>
      <c r="U101" s="15">
        <f>VLOOKUP(B101,[1]Sheet1!$C$3:$F$1048576,4,0)</f>
        <v>3767133448</v>
      </c>
      <c r="V101" s="19">
        <f t="shared" si="1"/>
        <v>3650480.2300817161</v>
      </c>
    </row>
    <row r="102" spans="1:22" x14ac:dyDescent="0.45">
      <c r="A102" s="2" t="s">
        <v>3</v>
      </c>
      <c r="B102" s="4">
        <v>3800000</v>
      </c>
      <c r="C102" s="5">
        <v>455000</v>
      </c>
      <c r="D102" s="5">
        <v>490000</v>
      </c>
      <c r="E102" s="5">
        <v>610000</v>
      </c>
      <c r="F102" s="5">
        <v>526000</v>
      </c>
      <c r="G102" s="7">
        <v>0.25</v>
      </c>
      <c r="H102" s="7">
        <v>0.27500000000000002</v>
      </c>
      <c r="I102" s="7">
        <v>0.3</v>
      </c>
      <c r="J102" s="7">
        <v>0.3</v>
      </c>
      <c r="K102" s="9">
        <v>0.11973684210526316</v>
      </c>
      <c r="L102" s="9">
        <v>0.12894736842105264</v>
      </c>
      <c r="M102" s="9">
        <v>0.16052631578947368</v>
      </c>
      <c r="N102" s="9">
        <v>0.13842105263157894</v>
      </c>
      <c r="O102" s="11">
        <v>3.5206258890469327E-3</v>
      </c>
      <c r="P102" s="11">
        <v>3.9473684210526438E-3</v>
      </c>
      <c r="Q102" s="11">
        <v>3.7695590327169182E-3</v>
      </c>
      <c r="R102" s="11">
        <v>4.3669985775248998E-3</v>
      </c>
      <c r="S102" s="15">
        <f>VLOOKUP(B102,[1]Sheet1!$C$3:$F$1048576,2,0)</f>
        <v>7683</v>
      </c>
      <c r="T102" s="15">
        <f>VLOOKUP(B102,[1]Sheet1!$C$3:$F$1048576,3,0)</f>
        <v>28810430630</v>
      </c>
      <c r="U102" s="15">
        <f>VLOOKUP(B102,[1]Sheet1!$C$3:$F$1048576,4,0)</f>
        <v>3871137065</v>
      </c>
      <c r="V102" s="19">
        <f t="shared" si="1"/>
        <v>3749893.3528569569</v>
      </c>
    </row>
    <row r="103" spans="1:22" x14ac:dyDescent="0.45">
      <c r="A103" s="2" t="s">
        <v>3</v>
      </c>
      <c r="B103" s="4">
        <v>3900000</v>
      </c>
      <c r="C103" s="5">
        <v>480000</v>
      </c>
      <c r="D103" s="5">
        <v>517500</v>
      </c>
      <c r="E103" s="5">
        <v>640000</v>
      </c>
      <c r="F103" s="5">
        <v>556000</v>
      </c>
      <c r="G103" s="7">
        <v>0.25</v>
      </c>
      <c r="H103" s="7">
        <v>0.27500000000000002</v>
      </c>
      <c r="I103" s="7">
        <v>0.3</v>
      </c>
      <c r="J103" s="7">
        <v>0.3</v>
      </c>
      <c r="K103" s="9">
        <v>0.12307692307692308</v>
      </c>
      <c r="L103" s="9">
        <v>0.13269230769230769</v>
      </c>
      <c r="M103" s="9">
        <v>0.1641025641025641</v>
      </c>
      <c r="N103" s="9">
        <v>0.14256410256410257</v>
      </c>
      <c r="O103" s="11">
        <v>3.3400809716599283E-3</v>
      </c>
      <c r="P103" s="11">
        <v>3.7449392712550489E-3</v>
      </c>
      <c r="Q103" s="11">
        <v>3.5762483130904188E-3</v>
      </c>
      <c r="R103" s="11">
        <v>4.1430499325236236E-3</v>
      </c>
      <c r="S103" s="15">
        <f>VLOOKUP(B103,[1]Sheet1!$C$3:$F$1048576,2,0)</f>
        <v>7276</v>
      </c>
      <c r="T103" s="15">
        <f>VLOOKUP(B103,[1]Sheet1!$C$3:$F$1048576,3,0)</f>
        <v>28016115390</v>
      </c>
      <c r="U103" s="15">
        <f>VLOOKUP(B103,[1]Sheet1!$C$3:$F$1048576,4,0)</f>
        <v>3874945565</v>
      </c>
      <c r="V103" s="19">
        <f t="shared" si="1"/>
        <v>3850483.1487080813</v>
      </c>
    </row>
    <row r="104" spans="1:22" x14ac:dyDescent="0.45">
      <c r="A104" s="2" t="s">
        <v>3</v>
      </c>
      <c r="B104" s="4">
        <v>4000000</v>
      </c>
      <c r="C104" s="5">
        <v>505000</v>
      </c>
      <c r="D104" s="5">
        <v>545000</v>
      </c>
      <c r="E104" s="5">
        <v>670000</v>
      </c>
      <c r="F104" s="5">
        <v>586000</v>
      </c>
      <c r="G104" s="7">
        <v>0.25</v>
      </c>
      <c r="H104" s="7">
        <v>0.27500000000000002</v>
      </c>
      <c r="I104" s="7">
        <v>0.3</v>
      </c>
      <c r="J104" s="7">
        <v>0.3</v>
      </c>
      <c r="K104" s="9">
        <v>0.12625</v>
      </c>
      <c r="L104" s="9">
        <v>0.13625000000000001</v>
      </c>
      <c r="M104" s="9">
        <v>0.16750000000000001</v>
      </c>
      <c r="N104" s="9">
        <v>0.14649999999999999</v>
      </c>
      <c r="O104" s="11">
        <v>3.1730769230769174E-3</v>
      </c>
      <c r="P104" s="11">
        <v>3.5576923076923173E-3</v>
      </c>
      <c r="Q104" s="11">
        <v>3.3974358974359076E-3</v>
      </c>
      <c r="R104" s="11">
        <v>3.935897435897423E-3</v>
      </c>
      <c r="S104" s="15">
        <f>VLOOKUP(B104,[1]Sheet1!$C$3:$F$1048576,2,0)</f>
        <v>6741</v>
      </c>
      <c r="T104" s="15">
        <f>VLOOKUP(B104,[1]Sheet1!$C$3:$F$1048576,3,0)</f>
        <v>26639082831</v>
      </c>
      <c r="U104" s="15">
        <f>VLOOKUP(B104,[1]Sheet1!$C$3:$F$1048576,4,0)</f>
        <v>3712888553</v>
      </c>
      <c r="V104" s="19">
        <f t="shared" si="1"/>
        <v>3951799.8562527816</v>
      </c>
    </row>
    <row r="105" spans="1:22" x14ac:dyDescent="0.45">
      <c r="A105" s="2" t="s">
        <v>3</v>
      </c>
      <c r="B105" s="4">
        <v>4100000</v>
      </c>
      <c r="C105" s="5">
        <v>530000</v>
      </c>
      <c r="D105" s="5">
        <v>572500</v>
      </c>
      <c r="E105" s="5">
        <v>700000</v>
      </c>
      <c r="F105" s="5">
        <v>616000</v>
      </c>
      <c r="G105" s="7">
        <v>0.25</v>
      </c>
      <c r="H105" s="7">
        <v>0.27500000000000002</v>
      </c>
      <c r="I105" s="7">
        <v>0.3</v>
      </c>
      <c r="J105" s="7">
        <v>0.3</v>
      </c>
      <c r="K105" s="9">
        <v>0.12926829268292683</v>
      </c>
      <c r="L105" s="9">
        <v>0.13963414634146343</v>
      </c>
      <c r="M105" s="9">
        <v>0.17073170731707318</v>
      </c>
      <c r="N105" s="9">
        <v>0.15024390243902438</v>
      </c>
      <c r="O105" s="11">
        <v>3.0182926829268319E-3</v>
      </c>
      <c r="P105" s="11">
        <v>3.3841463414634176E-3</v>
      </c>
      <c r="Q105" s="11">
        <v>3.2317073170731736E-3</v>
      </c>
      <c r="R105" s="11">
        <v>3.7439024390243936E-3</v>
      </c>
      <c r="S105" s="15">
        <f>VLOOKUP(B105,[1]Sheet1!$C$3:$F$1048576,2,0)</f>
        <v>6341</v>
      </c>
      <c r="T105" s="15">
        <f>VLOOKUP(B105,[1]Sheet1!$C$3:$F$1048576,3,0)</f>
        <v>25683360113</v>
      </c>
      <c r="U105" s="15">
        <f>VLOOKUP(B105,[1]Sheet1!$C$3:$F$1048576,4,0)</f>
        <v>3723118450</v>
      </c>
      <c r="V105" s="19">
        <f t="shared" si="1"/>
        <v>4050364.3136729221</v>
      </c>
    </row>
    <row r="106" spans="1:22" x14ac:dyDescent="0.45">
      <c r="A106" s="2" t="s">
        <v>3</v>
      </c>
      <c r="B106" s="4">
        <v>4200000</v>
      </c>
      <c r="C106" s="5">
        <v>555000</v>
      </c>
      <c r="D106" s="5">
        <v>600000</v>
      </c>
      <c r="E106" s="5">
        <v>735000</v>
      </c>
      <c r="F106" s="5">
        <v>651000</v>
      </c>
      <c r="G106" s="7">
        <v>0.25</v>
      </c>
      <c r="H106" s="7">
        <v>0.27500000000000002</v>
      </c>
      <c r="I106" s="7">
        <v>0.35</v>
      </c>
      <c r="J106" s="7">
        <v>0.35</v>
      </c>
      <c r="K106" s="9">
        <v>0.13214285714285715</v>
      </c>
      <c r="L106" s="9">
        <v>0.14285714285714285</v>
      </c>
      <c r="M106" s="9">
        <v>0.17499999999999999</v>
      </c>
      <c r="N106" s="9">
        <v>0.155</v>
      </c>
      <c r="O106" s="11">
        <v>2.8745644599303122E-3</v>
      </c>
      <c r="P106" s="11">
        <v>3.2229965156794216E-3</v>
      </c>
      <c r="Q106" s="11">
        <v>4.2682926829268053E-3</v>
      </c>
      <c r="R106" s="11">
        <v>4.756097560975614E-3</v>
      </c>
      <c r="S106" s="15">
        <f>VLOOKUP(B106,[1]Sheet1!$C$3:$F$1048576,2,0)</f>
        <v>6686</v>
      </c>
      <c r="T106" s="15">
        <f>VLOOKUP(B106,[1]Sheet1!$C$3:$F$1048576,3,0)</f>
        <v>27785873423</v>
      </c>
      <c r="U106" s="15">
        <f>VLOOKUP(B106,[1]Sheet1!$C$3:$F$1048576,4,0)</f>
        <v>4076095872</v>
      </c>
      <c r="V106" s="19">
        <f t="shared" si="1"/>
        <v>4155829.1090338021</v>
      </c>
    </row>
    <row r="107" spans="1:22" x14ac:dyDescent="0.45">
      <c r="A107" s="2" t="s">
        <v>3</v>
      </c>
      <c r="B107" s="4">
        <v>4300000</v>
      </c>
      <c r="C107" s="5">
        <v>580000</v>
      </c>
      <c r="D107" s="5">
        <v>627500</v>
      </c>
      <c r="E107" s="5">
        <v>770000</v>
      </c>
      <c r="F107" s="5">
        <v>686000</v>
      </c>
      <c r="G107" s="7">
        <v>0.25</v>
      </c>
      <c r="H107" s="7">
        <v>0.27500000000000002</v>
      </c>
      <c r="I107" s="7">
        <v>0.35</v>
      </c>
      <c r="J107" s="7">
        <v>0.35</v>
      </c>
      <c r="K107" s="9">
        <v>0.13488372093023257</v>
      </c>
      <c r="L107" s="9">
        <v>0.14593023255813953</v>
      </c>
      <c r="M107" s="9">
        <v>0.17906976744186046</v>
      </c>
      <c r="N107" s="9">
        <v>0.15953488372093022</v>
      </c>
      <c r="O107" s="11">
        <v>2.7408637873754249E-3</v>
      </c>
      <c r="P107" s="11">
        <v>3.0730897009966784E-3</v>
      </c>
      <c r="Q107" s="11">
        <v>4.0697674418604668E-3</v>
      </c>
      <c r="R107" s="11">
        <v>4.5348837209302217E-3</v>
      </c>
      <c r="S107" s="15">
        <f>VLOOKUP(B107,[1]Sheet1!$C$3:$F$1048576,2,0)</f>
        <v>5589</v>
      </c>
      <c r="T107" s="15">
        <f>VLOOKUP(B107,[1]Sheet1!$C$3:$F$1048576,3,0)</f>
        <v>23759069493</v>
      </c>
      <c r="U107" s="15">
        <f>VLOOKUP(B107,[1]Sheet1!$C$3:$F$1048576,4,0)</f>
        <v>3626148259</v>
      </c>
      <c r="V107" s="19">
        <f t="shared" si="1"/>
        <v>4251041.2404723568</v>
      </c>
    </row>
    <row r="108" spans="1:22" x14ac:dyDescent="0.45">
      <c r="A108" s="2" t="s">
        <v>3</v>
      </c>
      <c r="B108" s="4">
        <v>4400000</v>
      </c>
      <c r="C108" s="5">
        <v>605000</v>
      </c>
      <c r="D108" s="5">
        <v>655000</v>
      </c>
      <c r="E108" s="5">
        <v>805000</v>
      </c>
      <c r="F108" s="5">
        <v>721000</v>
      </c>
      <c r="G108" s="7">
        <v>0.25</v>
      </c>
      <c r="H108" s="7">
        <v>0.27500000000000002</v>
      </c>
      <c r="I108" s="7">
        <v>0.35</v>
      </c>
      <c r="J108" s="7">
        <v>0.35</v>
      </c>
      <c r="K108" s="9">
        <v>0.13750000000000001</v>
      </c>
      <c r="L108" s="9">
        <v>0.14886363636363636</v>
      </c>
      <c r="M108" s="9">
        <v>0.18295454545454545</v>
      </c>
      <c r="N108" s="9">
        <v>0.16386363636363635</v>
      </c>
      <c r="O108" s="11">
        <v>2.616279069767441E-3</v>
      </c>
      <c r="P108" s="11">
        <v>2.933403805496837E-3</v>
      </c>
      <c r="Q108" s="11">
        <v>3.8847780126849973E-3</v>
      </c>
      <c r="R108" s="11">
        <v>4.3287526427061296E-3</v>
      </c>
      <c r="S108" s="15">
        <f>VLOOKUP(B108,[1]Sheet1!$C$3:$F$1048576,2,0)</f>
        <v>5489</v>
      </c>
      <c r="T108" s="15">
        <f>VLOOKUP(B108,[1]Sheet1!$C$3:$F$1048576,3,0)</f>
        <v>23868164076</v>
      </c>
      <c r="U108" s="15">
        <f>VLOOKUP(B108,[1]Sheet1!$C$3:$F$1048576,4,0)</f>
        <v>3572932297</v>
      </c>
      <c r="V108" s="19">
        <f t="shared" si="1"/>
        <v>4348362.921479322</v>
      </c>
    </row>
    <row r="109" spans="1:22" x14ac:dyDescent="0.45">
      <c r="A109" s="2" t="s">
        <v>3</v>
      </c>
      <c r="B109" s="4">
        <v>4500000</v>
      </c>
      <c r="C109" s="5">
        <v>630000</v>
      </c>
      <c r="D109" s="5">
        <v>682500</v>
      </c>
      <c r="E109" s="5">
        <v>840000</v>
      </c>
      <c r="F109" s="5">
        <v>756000</v>
      </c>
      <c r="G109" s="7">
        <v>0.25</v>
      </c>
      <c r="H109" s="7">
        <v>0.27500000000000002</v>
      </c>
      <c r="I109" s="7">
        <v>0.35</v>
      </c>
      <c r="J109" s="7">
        <v>0.35</v>
      </c>
      <c r="K109" s="9">
        <v>0.14000000000000001</v>
      </c>
      <c r="L109" s="9">
        <v>0.15166666666666667</v>
      </c>
      <c r="M109" s="9">
        <v>0.18666666666666668</v>
      </c>
      <c r="N109" s="9">
        <v>0.16800000000000001</v>
      </c>
      <c r="O109" s="11">
        <v>2.5000000000000022E-3</v>
      </c>
      <c r="P109" s="11">
        <v>2.8030303030303072E-3</v>
      </c>
      <c r="Q109" s="11">
        <v>3.7121212121212221E-3</v>
      </c>
      <c r="R109" s="11">
        <v>4.1363636363636602E-3</v>
      </c>
      <c r="S109" s="15">
        <f>VLOOKUP(B109,[1]Sheet1!$C$3:$F$1048576,2,0)</f>
        <v>5596</v>
      </c>
      <c r="T109" s="15">
        <f>VLOOKUP(B109,[1]Sheet1!$C$3:$F$1048576,3,0)</f>
        <v>24946541596</v>
      </c>
      <c r="U109" s="15">
        <f>VLOOKUP(B109,[1]Sheet1!$C$3:$F$1048576,4,0)</f>
        <v>3711522338</v>
      </c>
      <c r="V109" s="19">
        <f t="shared" si="1"/>
        <v>4457923.8020014297</v>
      </c>
    </row>
    <row r="110" spans="1:22" x14ac:dyDescent="0.45">
      <c r="A110" s="2" t="s">
        <v>3</v>
      </c>
      <c r="B110" s="4">
        <v>4600000</v>
      </c>
      <c r="C110" s="5">
        <v>655000</v>
      </c>
      <c r="D110" s="5">
        <v>710000</v>
      </c>
      <c r="E110" s="5">
        <v>875000</v>
      </c>
      <c r="F110" s="5">
        <v>791000</v>
      </c>
      <c r="G110" s="7">
        <v>0.25</v>
      </c>
      <c r="H110" s="7">
        <v>0.27500000000000002</v>
      </c>
      <c r="I110" s="7">
        <v>0.35</v>
      </c>
      <c r="J110" s="7">
        <v>0.35</v>
      </c>
      <c r="K110" s="9">
        <v>0.1423913043478261</v>
      </c>
      <c r="L110" s="9">
        <v>0.15434782608695652</v>
      </c>
      <c r="M110" s="9">
        <v>0.19021739130434784</v>
      </c>
      <c r="N110" s="9">
        <v>0.17195652173913042</v>
      </c>
      <c r="O110" s="11">
        <v>2.3913043478260843E-3</v>
      </c>
      <c r="P110" s="11">
        <v>2.681159420289847E-3</v>
      </c>
      <c r="Q110" s="11">
        <v>3.550724637681163E-3</v>
      </c>
      <c r="R110" s="11">
        <v>3.9565217391304142E-3</v>
      </c>
      <c r="S110" s="15">
        <f>VLOOKUP(B110,[1]Sheet1!$C$3:$F$1048576,2,0)</f>
        <v>4697</v>
      </c>
      <c r="T110" s="15">
        <f>VLOOKUP(B110,[1]Sheet1!$C$3:$F$1048576,3,0)</f>
        <v>21371900280</v>
      </c>
      <c r="U110" s="15">
        <f>VLOOKUP(B110,[1]Sheet1!$C$3:$F$1048576,4,0)</f>
        <v>12233045249</v>
      </c>
      <c r="V110" s="19">
        <f t="shared" si="1"/>
        <v>4550117.1556312544</v>
      </c>
    </row>
    <row r="111" spans="1:22" x14ac:dyDescent="0.45">
      <c r="A111" s="2" t="s">
        <v>3</v>
      </c>
      <c r="B111" s="4">
        <v>4700000</v>
      </c>
      <c r="C111" s="5">
        <v>680000</v>
      </c>
      <c r="D111" s="5">
        <v>737500</v>
      </c>
      <c r="E111" s="5">
        <v>910000</v>
      </c>
      <c r="F111" s="5">
        <v>826000</v>
      </c>
      <c r="G111" s="7">
        <v>0.25</v>
      </c>
      <c r="H111" s="7">
        <v>0.27500000000000002</v>
      </c>
      <c r="I111" s="7">
        <v>0.35</v>
      </c>
      <c r="J111" s="7">
        <v>0.35</v>
      </c>
      <c r="K111" s="9">
        <v>0.14468085106382977</v>
      </c>
      <c r="L111" s="9">
        <v>0.15691489361702127</v>
      </c>
      <c r="M111" s="9">
        <v>0.19361702127659575</v>
      </c>
      <c r="N111" s="9">
        <v>0.17574468085106382</v>
      </c>
      <c r="O111" s="11">
        <v>2.2895467160036764E-3</v>
      </c>
      <c r="P111" s="11">
        <v>2.5670675300647483E-3</v>
      </c>
      <c r="Q111" s="11">
        <v>3.3996299722479084E-3</v>
      </c>
      <c r="R111" s="11">
        <v>3.7881591119333924E-3</v>
      </c>
      <c r="S111" s="15">
        <f>VLOOKUP(B111,[1]Sheet1!$C$3:$F$1048576,2,0)</f>
        <v>4478</v>
      </c>
      <c r="T111" s="15">
        <f>VLOOKUP(B111,[1]Sheet1!$C$3:$F$1048576,3,0)</f>
        <v>20816874347</v>
      </c>
      <c r="U111" s="15">
        <f>VLOOKUP(B111,[1]Sheet1!$C$3:$F$1048576,4,0)</f>
        <v>3353196786</v>
      </c>
      <c r="V111" s="19">
        <f t="shared" si="1"/>
        <v>4648699.0502456455</v>
      </c>
    </row>
    <row r="112" spans="1:22" x14ac:dyDescent="0.45">
      <c r="A112" s="2" t="s">
        <v>3</v>
      </c>
      <c r="B112" s="4">
        <v>4800000</v>
      </c>
      <c r="C112" s="5">
        <v>705000</v>
      </c>
      <c r="D112" s="5">
        <v>765000</v>
      </c>
      <c r="E112" s="5">
        <v>945000</v>
      </c>
      <c r="F112" s="5">
        <v>861000</v>
      </c>
      <c r="G112" s="7">
        <v>0.25</v>
      </c>
      <c r="H112" s="7">
        <v>0.27500000000000002</v>
      </c>
      <c r="I112" s="7">
        <v>0.35</v>
      </c>
      <c r="J112" s="7">
        <v>0.35</v>
      </c>
      <c r="K112" s="9">
        <v>0.14687500000000001</v>
      </c>
      <c r="L112" s="9">
        <v>0.15937499999999999</v>
      </c>
      <c r="M112" s="9">
        <v>0.19687499999999999</v>
      </c>
      <c r="N112" s="9">
        <v>0.17937500000000001</v>
      </c>
      <c r="O112" s="11">
        <v>2.1941489361702315E-3</v>
      </c>
      <c r="P112" s="11">
        <v>2.4601063829787218E-3</v>
      </c>
      <c r="Q112" s="11">
        <v>3.2579787234042479E-3</v>
      </c>
      <c r="R112" s="11">
        <v>3.6303191489361897E-3</v>
      </c>
      <c r="S112" s="15">
        <f>VLOOKUP(B112,[1]Sheet1!$C$3:$F$1048576,2,0)</f>
        <v>5007</v>
      </c>
      <c r="T112" s="15">
        <f>VLOOKUP(B112,[1]Sheet1!$C$3:$F$1048576,3,0)</f>
        <v>23826010086</v>
      </c>
      <c r="U112" s="15">
        <f>VLOOKUP(B112,[1]Sheet1!$C$3:$F$1048576,4,0)</f>
        <v>3769860039</v>
      </c>
      <c r="V112" s="19">
        <f t="shared" si="1"/>
        <v>4758540.0611144397</v>
      </c>
    </row>
    <row r="113" spans="1:22" x14ac:dyDescent="0.45">
      <c r="A113" s="2" t="s">
        <v>3</v>
      </c>
      <c r="B113" s="4">
        <v>4900000</v>
      </c>
      <c r="C113" s="5">
        <v>730000</v>
      </c>
      <c r="D113" s="5">
        <v>792500</v>
      </c>
      <c r="E113" s="5">
        <v>980000</v>
      </c>
      <c r="F113" s="5">
        <v>896000</v>
      </c>
      <c r="G113" s="7">
        <v>0.25</v>
      </c>
      <c r="H113" s="7">
        <v>0.27500000000000002</v>
      </c>
      <c r="I113" s="7">
        <v>0.35</v>
      </c>
      <c r="J113" s="7">
        <v>0.35</v>
      </c>
      <c r="K113" s="9">
        <v>0.1489795918367347</v>
      </c>
      <c r="L113" s="9">
        <v>0.16173469387755102</v>
      </c>
      <c r="M113" s="9">
        <v>0.2</v>
      </c>
      <c r="N113" s="9">
        <v>0.18285714285714286</v>
      </c>
      <c r="O113" s="11">
        <v>2.1045918367346983E-3</v>
      </c>
      <c r="P113" s="11">
        <v>2.3596938775510279E-3</v>
      </c>
      <c r="Q113" s="11">
        <v>3.1250000000000167E-3</v>
      </c>
      <c r="R113" s="11">
        <v>3.4821428571428503E-3</v>
      </c>
      <c r="S113" s="15">
        <f>VLOOKUP(B113,[1]Sheet1!$C$3:$F$1048576,2,0)</f>
        <v>4005</v>
      </c>
      <c r="T113" s="15">
        <f>VLOOKUP(B113,[1]Sheet1!$C$3:$F$1048576,3,0)</f>
        <v>19424995689</v>
      </c>
      <c r="U113" s="15">
        <f>VLOOKUP(B113,[1]Sheet1!$C$3:$F$1048576,4,0)</f>
        <v>3254216839</v>
      </c>
      <c r="V113" s="19">
        <f t="shared" si="1"/>
        <v>4850186.1895131087</v>
      </c>
    </row>
    <row r="114" spans="1:22" x14ac:dyDescent="0.45">
      <c r="A114" s="2" t="s">
        <v>3</v>
      </c>
      <c r="B114" s="4">
        <v>5000000</v>
      </c>
      <c r="C114" s="5">
        <v>755000</v>
      </c>
      <c r="D114" s="5">
        <v>820000</v>
      </c>
      <c r="E114" s="5">
        <v>1015000</v>
      </c>
      <c r="F114" s="5">
        <v>931000</v>
      </c>
      <c r="G114" s="7">
        <v>0.25</v>
      </c>
      <c r="H114" s="7">
        <v>0.27500000000000002</v>
      </c>
      <c r="I114" s="7">
        <v>0.35</v>
      </c>
      <c r="J114" s="7">
        <v>0.35</v>
      </c>
      <c r="K114" s="9">
        <v>0.151</v>
      </c>
      <c r="L114" s="9">
        <v>0.16400000000000001</v>
      </c>
      <c r="M114" s="9">
        <v>0.20300000000000001</v>
      </c>
      <c r="N114" s="9">
        <v>0.1862</v>
      </c>
      <c r="O114" s="11">
        <v>2.0204081632652915E-3</v>
      </c>
      <c r="P114" s="11">
        <v>2.2653061224489901E-3</v>
      </c>
      <c r="Q114" s="11">
        <v>3.0000000000000027E-3</v>
      </c>
      <c r="R114" s="11">
        <v>3.3428571428571474E-3</v>
      </c>
      <c r="S114" s="15">
        <f>VLOOKUP(B114,[1]Sheet1!$C$3:$F$1048576,2,0)</f>
        <v>3765</v>
      </c>
      <c r="T114" s="15">
        <f>VLOOKUP(B114,[1]Sheet1!$C$3:$F$1048576,3,0)</f>
        <v>18634135020</v>
      </c>
      <c r="U114" s="15">
        <f>VLOOKUP(B114,[1]Sheet1!$C$3:$F$1048576,4,0)</f>
        <v>3120278540</v>
      </c>
      <c r="V114" s="19">
        <f t="shared" si="1"/>
        <v>4949305.4501992036</v>
      </c>
    </row>
    <row r="115" spans="1:22" x14ac:dyDescent="0.45">
      <c r="A115" s="2" t="s">
        <v>3</v>
      </c>
      <c r="B115" s="4">
        <v>5100000</v>
      </c>
      <c r="C115" s="5">
        <v>780000</v>
      </c>
      <c r="D115" s="5">
        <v>847500</v>
      </c>
      <c r="E115" s="5">
        <v>1050000</v>
      </c>
      <c r="F115" s="5">
        <v>966000</v>
      </c>
      <c r="G115" s="7">
        <v>0.25</v>
      </c>
      <c r="H115" s="7">
        <v>0.27500000000000002</v>
      </c>
      <c r="I115" s="7">
        <v>0.35</v>
      </c>
      <c r="J115" s="7">
        <v>0.35</v>
      </c>
      <c r="K115" s="9">
        <v>0.15294117647058825</v>
      </c>
      <c r="L115" s="9">
        <v>0.16617647058823529</v>
      </c>
      <c r="M115" s="9">
        <v>0.20588235294117646</v>
      </c>
      <c r="N115" s="9">
        <v>0.18941176470588236</v>
      </c>
      <c r="O115" s="11">
        <v>1.9411764705882517E-3</v>
      </c>
      <c r="P115" s="11">
        <v>2.1764705882352797E-3</v>
      </c>
      <c r="Q115" s="11">
        <v>2.882352941176447E-3</v>
      </c>
      <c r="R115" s="11">
        <v>3.2117647058823584E-3</v>
      </c>
      <c r="S115" s="15">
        <f>VLOOKUP(B115,[1]Sheet1!$C$3:$F$1048576,2,0)</f>
        <v>3829</v>
      </c>
      <c r="T115" s="15">
        <f>VLOOKUP(B115,[1]Sheet1!$C$3:$F$1048576,3,0)</f>
        <v>19339850392</v>
      </c>
      <c r="U115" s="15">
        <f>VLOOKUP(B115,[1]Sheet1!$C$3:$F$1048576,4,0)</f>
        <v>3265164428</v>
      </c>
      <c r="V115" s="19">
        <f t="shared" si="1"/>
        <v>5050888.0626795506</v>
      </c>
    </row>
    <row r="116" spans="1:22" x14ac:dyDescent="0.45">
      <c r="A116" s="2" t="s">
        <v>3</v>
      </c>
      <c r="B116" s="4">
        <v>5200000</v>
      </c>
      <c r="C116" s="5">
        <v>805000</v>
      </c>
      <c r="D116" s="5">
        <v>875000</v>
      </c>
      <c r="E116" s="5">
        <v>1085000</v>
      </c>
      <c r="F116" s="5">
        <v>1001000</v>
      </c>
      <c r="G116" s="7">
        <v>0.25</v>
      </c>
      <c r="H116" s="7">
        <v>0.27500000000000002</v>
      </c>
      <c r="I116" s="7">
        <v>0.35</v>
      </c>
      <c r="J116" s="7">
        <v>0.35</v>
      </c>
      <c r="K116" s="9">
        <v>0.15480769230769231</v>
      </c>
      <c r="L116" s="9">
        <v>0.16826923076923078</v>
      </c>
      <c r="M116" s="9">
        <v>0.20865384615384616</v>
      </c>
      <c r="N116" s="9">
        <v>0.1925</v>
      </c>
      <c r="O116" s="11">
        <v>1.8665158371040658E-3</v>
      </c>
      <c r="P116" s="11">
        <v>2.0927601809954954E-3</v>
      </c>
      <c r="Q116" s="11">
        <v>2.7714932126697012E-3</v>
      </c>
      <c r="R116" s="11">
        <v>3.0882352941176416E-3</v>
      </c>
      <c r="S116" s="15">
        <f>VLOOKUP(B116,[1]Sheet1!$C$3:$F$1048576,2,0)</f>
        <v>3351</v>
      </c>
      <c r="T116" s="15">
        <f>VLOOKUP(B116,[1]Sheet1!$C$3:$F$1048576,3,0)</f>
        <v>17258592276</v>
      </c>
      <c r="U116" s="15">
        <f>VLOOKUP(B116,[1]Sheet1!$C$3:$F$1048576,4,0)</f>
        <v>3007943195</v>
      </c>
      <c r="V116" s="19">
        <f t="shared" si="1"/>
        <v>5150281.1924798563</v>
      </c>
    </row>
    <row r="117" spans="1:22" x14ac:dyDescent="0.45">
      <c r="A117" s="2" t="s">
        <v>3</v>
      </c>
      <c r="B117" s="4">
        <v>5300000</v>
      </c>
      <c r="C117" s="5">
        <v>830000</v>
      </c>
      <c r="D117" s="5">
        <v>902500</v>
      </c>
      <c r="E117" s="5">
        <v>1120000</v>
      </c>
      <c r="F117" s="5">
        <v>1036000</v>
      </c>
      <c r="G117" s="7">
        <v>0.25</v>
      </c>
      <c r="H117" s="7">
        <v>0.27500000000000002</v>
      </c>
      <c r="I117" s="7">
        <v>0.35</v>
      </c>
      <c r="J117" s="7">
        <v>0.35</v>
      </c>
      <c r="K117" s="9">
        <v>0.15660377358490565</v>
      </c>
      <c r="L117" s="9">
        <v>0.17028301886792452</v>
      </c>
      <c r="M117" s="9">
        <v>0.21132075471698114</v>
      </c>
      <c r="N117" s="9">
        <v>0.19547169811320755</v>
      </c>
      <c r="O117" s="11">
        <v>1.7960812772133405E-3</v>
      </c>
      <c r="P117" s="11">
        <v>2.0137880986937362E-3</v>
      </c>
      <c r="Q117" s="11">
        <v>2.6669085631349787E-3</v>
      </c>
      <c r="R117" s="11">
        <v>2.9716981132075493E-3</v>
      </c>
      <c r="S117" s="15">
        <f>VLOOKUP(B117,[1]Sheet1!$C$3:$F$1048576,2,0)</f>
        <v>3232</v>
      </c>
      <c r="T117" s="15">
        <f>VLOOKUP(B117,[1]Sheet1!$C$3:$F$1048576,3,0)</f>
        <v>16966518792</v>
      </c>
      <c r="U117" s="15">
        <f>VLOOKUP(B117,[1]Sheet1!$C$3:$F$1048576,4,0)</f>
        <v>2961551984</v>
      </c>
      <c r="V117" s="19">
        <f t="shared" si="1"/>
        <v>5249541.7054455448</v>
      </c>
    </row>
    <row r="118" spans="1:22" x14ac:dyDescent="0.45">
      <c r="A118" s="2" t="s">
        <v>3</v>
      </c>
      <c r="B118" s="4">
        <v>5400000</v>
      </c>
      <c r="C118" s="5">
        <v>855000</v>
      </c>
      <c r="D118" s="5">
        <v>930000</v>
      </c>
      <c r="E118" s="5">
        <v>1155000</v>
      </c>
      <c r="F118" s="5">
        <v>1071000</v>
      </c>
      <c r="G118" s="7">
        <v>0.25</v>
      </c>
      <c r="H118" s="7">
        <v>0.27500000000000002</v>
      </c>
      <c r="I118" s="7">
        <v>0.35</v>
      </c>
      <c r="J118" s="7">
        <v>0.35</v>
      </c>
      <c r="K118" s="9">
        <v>0.15833333333333333</v>
      </c>
      <c r="L118" s="9">
        <v>0.17222222222222222</v>
      </c>
      <c r="M118" s="9">
        <v>0.21388888888888888</v>
      </c>
      <c r="N118" s="9">
        <v>0.19833333333333333</v>
      </c>
      <c r="O118" s="11">
        <v>1.7295597484276726E-3</v>
      </c>
      <c r="P118" s="11">
        <v>1.9392033542977027E-3</v>
      </c>
      <c r="Q118" s="11">
        <v>2.5681341719077377E-3</v>
      </c>
      <c r="R118" s="11">
        <v>2.86163522012578E-3</v>
      </c>
      <c r="S118" s="15">
        <f>VLOOKUP(B118,[1]Sheet1!$C$3:$F$1048576,2,0)</f>
        <v>3945</v>
      </c>
      <c r="T118" s="15">
        <f>VLOOKUP(B118,[1]Sheet1!$C$3:$F$1048576,3,0)</f>
        <v>21141073395</v>
      </c>
      <c r="U118" s="15">
        <f>VLOOKUP(B118,[1]Sheet1!$C$3:$F$1048576,4,0)</f>
        <v>3501012446</v>
      </c>
      <c r="V118" s="19">
        <f t="shared" si="1"/>
        <v>5358953.9657794675</v>
      </c>
    </row>
    <row r="119" spans="1:22" x14ac:dyDescent="0.45">
      <c r="A119" s="2" t="s">
        <v>3</v>
      </c>
      <c r="B119" s="4">
        <v>5500000</v>
      </c>
      <c r="C119" s="5">
        <v>880000</v>
      </c>
      <c r="D119" s="5">
        <v>957500</v>
      </c>
      <c r="E119" s="5">
        <v>1190000</v>
      </c>
      <c r="F119" s="5">
        <v>1106000</v>
      </c>
      <c r="G119" s="7">
        <v>0.25</v>
      </c>
      <c r="H119" s="7">
        <v>0.27500000000000002</v>
      </c>
      <c r="I119" s="7">
        <v>0.35</v>
      </c>
      <c r="J119" s="7">
        <v>0.35</v>
      </c>
      <c r="K119" s="9">
        <v>0.16</v>
      </c>
      <c r="L119" s="9">
        <v>0.1740909090909091</v>
      </c>
      <c r="M119" s="9">
        <v>0.21636363636363637</v>
      </c>
      <c r="N119" s="9">
        <v>0.2010909090909091</v>
      </c>
      <c r="O119" s="11">
        <v>1.6666666666666774E-3</v>
      </c>
      <c r="P119" s="11">
        <v>1.8686868686868807E-3</v>
      </c>
      <c r="Q119" s="11">
        <v>2.4747474747474907E-3</v>
      </c>
      <c r="R119" s="11">
        <v>2.7575757575757642E-3</v>
      </c>
      <c r="S119" s="15">
        <f>VLOOKUP(B119,[1]Sheet1!$C$3:$F$1048576,2,0)</f>
        <v>2905</v>
      </c>
      <c r="T119" s="15">
        <f>VLOOKUP(B119,[1]Sheet1!$C$3:$F$1048576,3,0)</f>
        <v>15833484462</v>
      </c>
      <c r="U119" s="15">
        <f>VLOOKUP(B119,[1]Sheet1!$C$3:$F$1048576,4,0)</f>
        <v>2890308851</v>
      </c>
      <c r="V119" s="19">
        <f t="shared" si="1"/>
        <v>5450424.9438898452</v>
      </c>
    </row>
    <row r="120" spans="1:22" x14ac:dyDescent="0.45">
      <c r="A120" s="2" t="s">
        <v>3</v>
      </c>
      <c r="B120" s="4">
        <v>5600000</v>
      </c>
      <c r="C120" s="5">
        <v>905000</v>
      </c>
      <c r="D120" s="5">
        <v>985000</v>
      </c>
      <c r="E120" s="5">
        <v>1225000</v>
      </c>
      <c r="F120" s="5">
        <v>1141000</v>
      </c>
      <c r="G120" s="7">
        <v>0.25</v>
      </c>
      <c r="H120" s="7">
        <v>0.27500000000000002</v>
      </c>
      <c r="I120" s="7">
        <v>0.35</v>
      </c>
      <c r="J120" s="7">
        <v>0.35</v>
      </c>
      <c r="K120" s="9">
        <v>0.16160714285714287</v>
      </c>
      <c r="L120" s="9">
        <v>0.17589285714285716</v>
      </c>
      <c r="M120" s="9">
        <v>0.21875</v>
      </c>
      <c r="N120" s="9">
        <v>0.20374999999999999</v>
      </c>
      <c r="O120" s="11">
        <v>1.6071428571428625E-3</v>
      </c>
      <c r="P120" s="11">
        <v>1.8019480519480546E-3</v>
      </c>
      <c r="Q120" s="11">
        <v>2.3863636363636309E-3</v>
      </c>
      <c r="R120" s="11">
        <v>2.6590909090908887E-3</v>
      </c>
      <c r="S120" s="15">
        <f>VLOOKUP(B120,[1]Sheet1!$C$3:$F$1048576,2,0)</f>
        <v>2876</v>
      </c>
      <c r="T120" s="15">
        <f>VLOOKUP(B120,[1]Sheet1!$C$3:$F$1048576,3,0)</f>
        <v>15961559397</v>
      </c>
      <c r="U120" s="15">
        <f>VLOOKUP(B120,[1]Sheet1!$C$3:$F$1048576,4,0)</f>
        <v>2892405434</v>
      </c>
      <c r="V120" s="19">
        <f t="shared" si="1"/>
        <v>5549916.3410987481</v>
      </c>
    </row>
    <row r="121" spans="1:22" x14ac:dyDescent="0.45">
      <c r="A121" s="2" t="s">
        <v>3</v>
      </c>
      <c r="B121" s="4">
        <v>5700000</v>
      </c>
      <c r="C121" s="5">
        <v>930000</v>
      </c>
      <c r="D121" s="5">
        <v>1012500</v>
      </c>
      <c r="E121" s="5">
        <v>1260000</v>
      </c>
      <c r="F121" s="5">
        <v>1176000</v>
      </c>
      <c r="G121" s="7">
        <v>0.25</v>
      </c>
      <c r="H121" s="7">
        <v>0.27500000000000002</v>
      </c>
      <c r="I121" s="7">
        <v>0.35</v>
      </c>
      <c r="J121" s="7">
        <v>0.35</v>
      </c>
      <c r="K121" s="9">
        <v>0.16315789473684211</v>
      </c>
      <c r="L121" s="9">
        <v>0.17763157894736842</v>
      </c>
      <c r="M121" s="9">
        <v>0.22105263157894736</v>
      </c>
      <c r="N121" s="9">
        <v>0.2063157894736842</v>
      </c>
      <c r="O121" s="11">
        <v>1.550751879699247E-3</v>
      </c>
      <c r="P121" s="11">
        <v>1.7387218045112618E-3</v>
      </c>
      <c r="Q121" s="11">
        <v>2.3026315789473617E-3</v>
      </c>
      <c r="R121" s="11">
        <v>2.5657894736842157E-3</v>
      </c>
      <c r="S121" s="15">
        <f>VLOOKUP(B121,[1]Sheet1!$C$3:$F$1048576,2,0)</f>
        <v>2617</v>
      </c>
      <c r="T121" s="15">
        <f>VLOOKUP(B121,[1]Sheet1!$C$3:$F$1048576,3,0)</f>
        <v>14785629252</v>
      </c>
      <c r="U121" s="15">
        <f>VLOOKUP(B121,[1]Sheet1!$C$3:$F$1048576,4,0)</f>
        <v>2756043761</v>
      </c>
      <c r="V121" s="19">
        <f t="shared" si="1"/>
        <v>5649839.2250668705</v>
      </c>
    </row>
    <row r="122" spans="1:22" x14ac:dyDescent="0.45">
      <c r="A122" s="2" t="s">
        <v>3</v>
      </c>
      <c r="B122" s="4">
        <v>5800000</v>
      </c>
      <c r="C122" s="5">
        <v>955000</v>
      </c>
      <c r="D122" s="5">
        <v>1040000</v>
      </c>
      <c r="E122" s="5">
        <v>1295000</v>
      </c>
      <c r="F122" s="5">
        <v>1211000</v>
      </c>
      <c r="G122" s="7">
        <v>0.25</v>
      </c>
      <c r="H122" s="7">
        <v>0.27500000000000002</v>
      </c>
      <c r="I122" s="7">
        <v>0.35</v>
      </c>
      <c r="J122" s="7">
        <v>0.35</v>
      </c>
      <c r="K122" s="9">
        <v>0.1646551724137931</v>
      </c>
      <c r="L122" s="9">
        <v>0.1793103448275862</v>
      </c>
      <c r="M122" s="9">
        <v>0.22327586206896552</v>
      </c>
      <c r="N122" s="9">
        <v>0.20879310344827587</v>
      </c>
      <c r="O122" s="11">
        <v>1.4972776769509866E-3</v>
      </c>
      <c r="P122" s="11">
        <v>1.6787658802177863E-3</v>
      </c>
      <c r="Q122" s="11">
        <v>2.2232304900181576E-3</v>
      </c>
      <c r="R122" s="11">
        <v>2.4773139745916661E-3</v>
      </c>
      <c r="S122" s="15">
        <f>VLOOKUP(B122,[1]Sheet1!$C$3:$F$1048576,2,0)</f>
        <v>2547</v>
      </c>
      <c r="T122" s="15">
        <f>VLOOKUP(B122,[1]Sheet1!$C$3:$F$1048576,3,0)</f>
        <v>14644064445</v>
      </c>
      <c r="U122" s="15">
        <f>VLOOKUP(B122,[1]Sheet1!$C$3:$F$1048576,4,0)</f>
        <v>2644782490</v>
      </c>
      <c r="V122" s="19">
        <f t="shared" si="1"/>
        <v>5749534.5288574798</v>
      </c>
    </row>
    <row r="123" spans="1:22" x14ac:dyDescent="0.45">
      <c r="A123" s="2" t="s">
        <v>3</v>
      </c>
      <c r="B123" s="4">
        <v>5900000</v>
      </c>
      <c r="C123" s="5">
        <v>980000</v>
      </c>
      <c r="D123" s="5">
        <v>1067500</v>
      </c>
      <c r="E123" s="5">
        <v>1330000</v>
      </c>
      <c r="F123" s="5">
        <v>1246000</v>
      </c>
      <c r="G123" s="7">
        <v>0.25</v>
      </c>
      <c r="H123" s="7">
        <v>0.27500000000000002</v>
      </c>
      <c r="I123" s="7">
        <v>0.35</v>
      </c>
      <c r="J123" s="7">
        <v>0.35</v>
      </c>
      <c r="K123" s="9">
        <v>0.16610169491525423</v>
      </c>
      <c r="L123" s="9">
        <v>0.18093220338983051</v>
      </c>
      <c r="M123" s="9">
        <v>0.22542372881355932</v>
      </c>
      <c r="N123" s="9">
        <v>0.2111864406779661</v>
      </c>
      <c r="O123" s="11">
        <v>1.4465225014611283E-3</v>
      </c>
      <c r="P123" s="11">
        <v>1.6218585622443105E-3</v>
      </c>
      <c r="Q123" s="11">
        <v>2.1478667445938016E-3</v>
      </c>
      <c r="R123" s="11">
        <v>2.3933372296902344E-3</v>
      </c>
      <c r="S123" s="15">
        <f>VLOOKUP(B123,[1]Sheet1!$C$3:$F$1048576,2,0)</f>
        <v>2322</v>
      </c>
      <c r="T123" s="15">
        <f>VLOOKUP(B123,[1]Sheet1!$C$3:$F$1048576,3,0)</f>
        <v>13583820713</v>
      </c>
      <c r="U123" s="15">
        <f>VLOOKUP(B123,[1]Sheet1!$C$3:$F$1048576,4,0)</f>
        <v>2569030859</v>
      </c>
      <c r="V123" s="19">
        <f t="shared" si="1"/>
        <v>5850051.9866494406</v>
      </c>
    </row>
    <row r="124" spans="1:22" x14ac:dyDescent="0.45">
      <c r="A124" s="2" t="s">
        <v>3</v>
      </c>
      <c r="B124" s="4">
        <v>6000000</v>
      </c>
      <c r="C124" s="5">
        <v>1005000</v>
      </c>
      <c r="D124" s="5">
        <v>1095000</v>
      </c>
      <c r="E124" s="5">
        <v>1365000</v>
      </c>
      <c r="F124" s="5">
        <v>1281000</v>
      </c>
      <c r="G124" s="7">
        <v>0.25</v>
      </c>
      <c r="H124" s="7">
        <v>0.27500000000000002</v>
      </c>
      <c r="I124" s="7">
        <v>0.35</v>
      </c>
      <c r="J124" s="7">
        <v>0.35</v>
      </c>
      <c r="K124" s="9">
        <v>0.16750000000000001</v>
      </c>
      <c r="L124" s="9">
        <v>0.1825</v>
      </c>
      <c r="M124" s="9">
        <v>0.22750000000000001</v>
      </c>
      <c r="N124" s="9">
        <v>0.2135</v>
      </c>
      <c r="O124" s="11">
        <v>1.3983050847457823E-3</v>
      </c>
      <c r="P124" s="11">
        <v>1.5677966101694807E-3</v>
      </c>
      <c r="Q124" s="11">
        <v>2.0762711864406869E-3</v>
      </c>
      <c r="R124" s="11">
        <v>2.3135593220338924E-3</v>
      </c>
      <c r="S124" s="15">
        <f>VLOOKUP(B124,[1]Sheet1!$C$3:$F$1048576,2,0)</f>
        <v>3131</v>
      </c>
      <c r="T124" s="15">
        <f>VLOOKUP(B124,[1]Sheet1!$C$3:$F$1048576,3,0)</f>
        <v>18667840773</v>
      </c>
      <c r="U124" s="15">
        <f>VLOOKUP(B124,[1]Sheet1!$C$3:$F$1048576,4,0)</f>
        <v>3532329380</v>
      </c>
      <c r="V124" s="19">
        <f t="shared" si="1"/>
        <v>5962261.5052698823</v>
      </c>
    </row>
    <row r="125" spans="1:22" x14ac:dyDescent="0.45">
      <c r="A125" s="2" t="s">
        <v>3</v>
      </c>
      <c r="B125" s="4">
        <v>6100000</v>
      </c>
      <c r="C125" s="5">
        <v>1037500</v>
      </c>
      <c r="D125" s="5">
        <v>1130000</v>
      </c>
      <c r="E125" s="5">
        <v>1400000</v>
      </c>
      <c r="F125" s="5">
        <v>1316000</v>
      </c>
      <c r="G125" s="7">
        <v>0.32500000000000001</v>
      </c>
      <c r="H125" s="7">
        <v>0.35</v>
      </c>
      <c r="I125" s="7">
        <v>0.35</v>
      </c>
      <c r="J125" s="7">
        <v>0.35</v>
      </c>
      <c r="K125" s="9">
        <v>0.17008196721311475</v>
      </c>
      <c r="L125" s="9">
        <v>0.18524590163934426</v>
      </c>
      <c r="M125" s="9">
        <v>0.22950819672131148</v>
      </c>
      <c r="N125" s="9">
        <v>0.21573770491803279</v>
      </c>
      <c r="O125" s="11">
        <v>2.5819672131147386E-3</v>
      </c>
      <c r="P125" s="11">
        <v>2.745901639344267E-3</v>
      </c>
      <c r="Q125" s="11">
        <v>2.0081967213114726E-3</v>
      </c>
      <c r="R125" s="11">
        <v>2.2377049180327957E-3</v>
      </c>
      <c r="S125" s="15">
        <f>VLOOKUP(B125,[1]Sheet1!$C$3:$F$1048576,2,0)</f>
        <v>2119</v>
      </c>
      <c r="T125" s="15">
        <f>VLOOKUP(B125,[1]Sheet1!$C$3:$F$1048576,3,0)</f>
        <v>12819159450</v>
      </c>
      <c r="U125" s="15">
        <f>VLOOKUP(B125,[1]Sheet1!$C$3:$F$1048576,4,0)</f>
        <v>2464467672</v>
      </c>
      <c r="V125" s="19">
        <f t="shared" si="1"/>
        <v>6049626.923076923</v>
      </c>
    </row>
    <row r="126" spans="1:22" x14ac:dyDescent="0.45">
      <c r="A126" s="2" t="s">
        <v>3</v>
      </c>
      <c r="B126" s="4">
        <v>6200000</v>
      </c>
      <c r="C126" s="5">
        <v>1070000</v>
      </c>
      <c r="D126" s="5">
        <v>1165000</v>
      </c>
      <c r="E126" s="5">
        <v>1435000</v>
      </c>
      <c r="F126" s="5">
        <v>1351000</v>
      </c>
      <c r="G126" s="7">
        <v>0.32500000000000001</v>
      </c>
      <c r="H126" s="7">
        <v>0.35</v>
      </c>
      <c r="I126" s="7">
        <v>0.35</v>
      </c>
      <c r="J126" s="7">
        <v>0.35</v>
      </c>
      <c r="K126" s="9">
        <v>0.17258064516129032</v>
      </c>
      <c r="L126" s="9">
        <v>0.18790322580645161</v>
      </c>
      <c r="M126" s="9">
        <v>0.2314516129032258</v>
      </c>
      <c r="N126" s="9">
        <v>0.21790322580645161</v>
      </c>
      <c r="O126" s="11">
        <v>2.4986779481755705E-3</v>
      </c>
      <c r="P126" s="11">
        <v>2.6573241671073444E-3</v>
      </c>
      <c r="Q126" s="11">
        <v>1.9434161819143203E-3</v>
      </c>
      <c r="R126" s="11">
        <v>2.1655208884188148E-3</v>
      </c>
      <c r="S126" s="15">
        <f>VLOOKUP(B126,[1]Sheet1!$C$3:$F$1048576,2,0)</f>
        <v>2109</v>
      </c>
      <c r="T126" s="15">
        <f>VLOOKUP(B126,[1]Sheet1!$C$3:$F$1048576,3,0)</f>
        <v>12971683744</v>
      </c>
      <c r="U126" s="15">
        <f>VLOOKUP(B126,[1]Sheet1!$C$3:$F$1048576,4,0)</f>
        <v>2492178277</v>
      </c>
      <c r="V126" s="19">
        <f t="shared" si="1"/>
        <v>6150632.4058795637</v>
      </c>
    </row>
    <row r="127" spans="1:22" x14ac:dyDescent="0.45">
      <c r="A127" s="2" t="s">
        <v>3</v>
      </c>
      <c r="B127" s="4">
        <v>6300000</v>
      </c>
      <c r="C127" s="5">
        <v>1102500</v>
      </c>
      <c r="D127" s="5">
        <v>1200000</v>
      </c>
      <c r="E127" s="5">
        <v>1470000</v>
      </c>
      <c r="F127" s="5">
        <v>1386000</v>
      </c>
      <c r="G127" s="7">
        <v>0.32500000000000001</v>
      </c>
      <c r="H127" s="7">
        <v>0.35</v>
      </c>
      <c r="I127" s="7">
        <v>0.35</v>
      </c>
      <c r="J127" s="7">
        <v>0.35</v>
      </c>
      <c r="K127" s="9">
        <v>0.17499999999999999</v>
      </c>
      <c r="L127" s="9">
        <v>0.19047619047619047</v>
      </c>
      <c r="M127" s="9">
        <v>0.23333333333333334</v>
      </c>
      <c r="N127" s="9">
        <v>0.22</v>
      </c>
      <c r="O127" s="11">
        <v>2.4193548387096697E-3</v>
      </c>
      <c r="P127" s="11">
        <v>2.5729646697388586E-3</v>
      </c>
      <c r="Q127" s="11">
        <v>1.8817204301075363E-3</v>
      </c>
      <c r="R127" s="11">
        <v>2.0967741935483952E-3</v>
      </c>
      <c r="S127" s="15">
        <f>VLOOKUP(B127,[1]Sheet1!$C$3:$F$1048576,2,0)</f>
        <v>2098</v>
      </c>
      <c r="T127" s="15">
        <f>VLOOKUP(B127,[1]Sheet1!$C$3:$F$1048576,3,0)</f>
        <v>13118014428</v>
      </c>
      <c r="U127" s="15">
        <f>VLOOKUP(B127,[1]Sheet1!$C$3:$F$1048576,4,0)</f>
        <v>2495330509</v>
      </c>
      <c r="V127" s="19">
        <f t="shared" si="1"/>
        <v>6252628.4213536698</v>
      </c>
    </row>
    <row r="128" spans="1:22" x14ac:dyDescent="0.45">
      <c r="A128" s="2" t="s">
        <v>3</v>
      </c>
      <c r="B128" s="4">
        <v>6400000</v>
      </c>
      <c r="C128" s="5">
        <v>1135000</v>
      </c>
      <c r="D128" s="5">
        <v>1235000</v>
      </c>
      <c r="E128" s="5">
        <v>1505000</v>
      </c>
      <c r="F128" s="5">
        <v>1421000</v>
      </c>
      <c r="G128" s="7">
        <v>0.32500000000000001</v>
      </c>
      <c r="H128" s="7">
        <v>0.35</v>
      </c>
      <c r="I128" s="7">
        <v>0.35</v>
      </c>
      <c r="J128" s="7">
        <v>0.35</v>
      </c>
      <c r="K128" s="9">
        <v>0.17734374999999999</v>
      </c>
      <c r="L128" s="9">
        <v>0.19296874999999999</v>
      </c>
      <c r="M128" s="9">
        <v>0.23515625000000001</v>
      </c>
      <c r="N128" s="9">
        <v>0.22203125000000001</v>
      </c>
      <c r="O128" s="11">
        <v>2.3437500000000056E-3</v>
      </c>
      <c r="P128" s="11">
        <v>2.4925595238095288E-3</v>
      </c>
      <c r="Q128" s="11">
        <v>1.8229166666666741E-3</v>
      </c>
      <c r="R128" s="11">
        <v>2.0312500000000122E-3</v>
      </c>
      <c r="S128" s="15">
        <f>VLOOKUP(B128,[1]Sheet1!$C$3:$F$1048576,2,0)</f>
        <v>1889</v>
      </c>
      <c r="T128" s="15">
        <f>VLOOKUP(B128,[1]Sheet1!$C$3:$F$1048576,3,0)</f>
        <v>11998742319</v>
      </c>
      <c r="U128" s="15">
        <f>VLOOKUP(B128,[1]Sheet1!$C$3:$F$1048576,4,0)</f>
        <v>2343503949</v>
      </c>
      <c r="V128" s="19">
        <f t="shared" si="1"/>
        <v>6351901.7040762305</v>
      </c>
    </row>
    <row r="129" spans="1:22" x14ac:dyDescent="0.45">
      <c r="A129" s="2" t="s">
        <v>3</v>
      </c>
      <c r="B129" s="4">
        <v>6500000</v>
      </c>
      <c r="C129" s="5">
        <v>1167500</v>
      </c>
      <c r="D129" s="5">
        <v>1270000</v>
      </c>
      <c r="E129" s="5">
        <v>1540000</v>
      </c>
      <c r="F129" s="5">
        <v>1456000</v>
      </c>
      <c r="G129" s="7">
        <v>0.32500000000000001</v>
      </c>
      <c r="H129" s="7">
        <v>0.35</v>
      </c>
      <c r="I129" s="7">
        <v>0.35</v>
      </c>
      <c r="J129" s="7">
        <v>0.35</v>
      </c>
      <c r="K129" s="9">
        <v>0.17961538461538462</v>
      </c>
      <c r="L129" s="9">
        <v>0.19538461538461538</v>
      </c>
      <c r="M129" s="9">
        <v>0.23692307692307693</v>
      </c>
      <c r="N129" s="9">
        <v>0.224</v>
      </c>
      <c r="O129" s="11">
        <v>2.2716346153846267E-3</v>
      </c>
      <c r="P129" s="11">
        <v>2.4158653846153844E-3</v>
      </c>
      <c r="Q129" s="11">
        <v>1.7668269230769196E-3</v>
      </c>
      <c r="R129" s="11">
        <v>1.9687499999999913E-3</v>
      </c>
      <c r="S129" s="15">
        <f>VLOOKUP(B129,[1]Sheet1!$C$3:$F$1048576,2,0)</f>
        <v>1929</v>
      </c>
      <c r="T129" s="15">
        <f>VLOOKUP(B129,[1]Sheet1!$C$3:$F$1048576,3,0)</f>
        <v>12445411337</v>
      </c>
      <c r="U129" s="15">
        <f>VLOOKUP(B129,[1]Sheet1!$C$3:$F$1048576,4,0)</f>
        <v>2396517891</v>
      </c>
      <c r="V129" s="19">
        <f t="shared" si="1"/>
        <v>6451742.5282529807</v>
      </c>
    </row>
    <row r="130" spans="1:22" x14ac:dyDescent="0.45">
      <c r="A130" s="2" t="s">
        <v>3</v>
      </c>
      <c r="B130" s="4">
        <v>6600000</v>
      </c>
      <c r="C130" s="5">
        <v>1200000</v>
      </c>
      <c r="D130" s="5">
        <v>1305000</v>
      </c>
      <c r="E130" s="5">
        <v>1575000</v>
      </c>
      <c r="F130" s="5">
        <v>1491000</v>
      </c>
      <c r="G130" s="7">
        <v>0.32500000000000001</v>
      </c>
      <c r="H130" s="7">
        <v>0.35</v>
      </c>
      <c r="I130" s="7">
        <v>0.35</v>
      </c>
      <c r="J130" s="7">
        <v>0.35</v>
      </c>
      <c r="K130" s="9">
        <v>0.18181818181818182</v>
      </c>
      <c r="L130" s="9">
        <v>0.19772727272727272</v>
      </c>
      <c r="M130" s="9">
        <v>0.23863636363636365</v>
      </c>
      <c r="N130" s="9">
        <v>0.22590909090909092</v>
      </c>
      <c r="O130" s="11">
        <v>2.202797202797202E-3</v>
      </c>
      <c r="P130" s="11">
        <v>2.3426573426573449E-3</v>
      </c>
      <c r="Q130" s="11">
        <v>1.7132867132867158E-3</v>
      </c>
      <c r="R130" s="11">
        <v>1.9090909090909158E-3</v>
      </c>
      <c r="S130" s="15">
        <f>VLOOKUP(B130,[1]Sheet1!$C$3:$F$1048576,2,0)</f>
        <v>2239</v>
      </c>
      <c r="T130" s="15">
        <f>VLOOKUP(B130,[1]Sheet1!$C$3:$F$1048576,3,0)</f>
        <v>14681820096</v>
      </c>
      <c r="U130" s="15">
        <f>VLOOKUP(B130,[1]Sheet1!$C$3:$F$1048576,4,0)</f>
        <v>2760382489</v>
      </c>
      <c r="V130" s="19">
        <f t="shared" si="1"/>
        <v>6557311.3425636441</v>
      </c>
    </row>
    <row r="131" spans="1:22" x14ac:dyDescent="0.45">
      <c r="A131" s="2" t="s">
        <v>3</v>
      </c>
      <c r="B131" s="4">
        <v>6700000</v>
      </c>
      <c r="C131" s="5">
        <v>1232500</v>
      </c>
      <c r="D131" s="5">
        <v>1340000</v>
      </c>
      <c r="E131" s="5">
        <v>1610000</v>
      </c>
      <c r="F131" s="5">
        <v>1526000</v>
      </c>
      <c r="G131" s="7">
        <v>0.32500000000000001</v>
      </c>
      <c r="H131" s="7">
        <v>0.35</v>
      </c>
      <c r="I131" s="7">
        <v>0.35</v>
      </c>
      <c r="J131" s="7">
        <v>0.35</v>
      </c>
      <c r="K131" s="9">
        <v>0.18395522388059701</v>
      </c>
      <c r="L131" s="9">
        <v>0.2</v>
      </c>
      <c r="M131" s="9">
        <v>0.24029850746268658</v>
      </c>
      <c r="N131" s="9">
        <v>0.22776119402985073</v>
      </c>
      <c r="O131" s="11">
        <v>2.1370420624151898E-3</v>
      </c>
      <c r="P131" s="11">
        <v>2.2727272727272874E-3</v>
      </c>
      <c r="Q131" s="11">
        <v>1.6621438263229316E-3</v>
      </c>
      <c r="R131" s="11">
        <v>1.8521031207598126E-3</v>
      </c>
      <c r="S131" s="15">
        <f>VLOOKUP(B131,[1]Sheet1!$C$3:$F$1048576,2,0)</f>
        <v>1730</v>
      </c>
      <c r="T131" s="15">
        <f>VLOOKUP(B131,[1]Sheet1!$C$3:$F$1048576,3,0)</f>
        <v>11505744644</v>
      </c>
      <c r="U131" s="15">
        <f>VLOOKUP(B131,[1]Sheet1!$C$3:$F$1048576,4,0)</f>
        <v>2272143691</v>
      </c>
      <c r="V131" s="19">
        <f t="shared" ref="V131:V169" si="2">T131/S131</f>
        <v>6650719.4473988442</v>
      </c>
    </row>
    <row r="132" spans="1:22" x14ac:dyDescent="0.45">
      <c r="A132" s="2" t="s">
        <v>3</v>
      </c>
      <c r="B132" s="4">
        <v>6800000</v>
      </c>
      <c r="C132" s="5">
        <v>1265000</v>
      </c>
      <c r="D132" s="5">
        <v>1375000</v>
      </c>
      <c r="E132" s="5">
        <v>1645000</v>
      </c>
      <c r="F132" s="5">
        <v>1561000</v>
      </c>
      <c r="G132" s="7">
        <v>0.32500000000000001</v>
      </c>
      <c r="H132" s="7">
        <v>0.35</v>
      </c>
      <c r="I132" s="7">
        <v>0.35</v>
      </c>
      <c r="J132" s="7">
        <v>0.35</v>
      </c>
      <c r="K132" s="9">
        <v>0.18602941176470589</v>
      </c>
      <c r="L132" s="9">
        <v>0.20220588235294118</v>
      </c>
      <c r="M132" s="9">
        <v>0.24191176470588235</v>
      </c>
      <c r="N132" s="9">
        <v>0.22955882352941176</v>
      </c>
      <c r="O132" s="11">
        <v>2.0741878841088746E-3</v>
      </c>
      <c r="P132" s="11">
        <v>2.2058823529411686E-3</v>
      </c>
      <c r="Q132" s="11">
        <v>1.6132572431957759E-3</v>
      </c>
      <c r="R132" s="11">
        <v>1.7976294995610265E-3</v>
      </c>
      <c r="S132" s="15">
        <f>VLOOKUP(B132,[1]Sheet1!$C$3:$F$1048576,2,0)</f>
        <v>1733</v>
      </c>
      <c r="T132" s="15">
        <f>VLOOKUP(B132,[1]Sheet1!$C$3:$F$1048576,3,0)</f>
        <v>11696028877</v>
      </c>
      <c r="U132" s="15">
        <f>VLOOKUP(B132,[1]Sheet1!$C$3:$F$1048576,4,0)</f>
        <v>2343657474</v>
      </c>
      <c r="V132" s="19">
        <f t="shared" si="2"/>
        <v>6749006.8534333529</v>
      </c>
    </row>
    <row r="133" spans="1:22" x14ac:dyDescent="0.45">
      <c r="A133" s="2" t="s">
        <v>3</v>
      </c>
      <c r="B133" s="4">
        <v>6900000</v>
      </c>
      <c r="C133" s="5">
        <v>1297500</v>
      </c>
      <c r="D133" s="5">
        <v>1410000</v>
      </c>
      <c r="E133" s="5">
        <v>1680000</v>
      </c>
      <c r="F133" s="5">
        <v>1596000</v>
      </c>
      <c r="G133" s="7">
        <v>0.32500000000000001</v>
      </c>
      <c r="H133" s="7">
        <v>0.35</v>
      </c>
      <c r="I133" s="7">
        <v>0.35</v>
      </c>
      <c r="J133" s="7">
        <v>0.35</v>
      </c>
      <c r="K133" s="9">
        <v>0.18804347826086956</v>
      </c>
      <c r="L133" s="9">
        <v>0.20434782608695654</v>
      </c>
      <c r="M133" s="9">
        <v>0.24347826086956523</v>
      </c>
      <c r="N133" s="9">
        <v>0.23130434782608697</v>
      </c>
      <c r="O133" s="11">
        <v>2.0140664961636745E-3</v>
      </c>
      <c r="P133" s="11">
        <v>2.1419437340153558E-3</v>
      </c>
      <c r="Q133" s="11">
        <v>1.5664961636828734E-3</v>
      </c>
      <c r="R133" s="11">
        <v>1.7455242966752105E-3</v>
      </c>
      <c r="S133" s="15">
        <f>VLOOKUP(B133,[1]Sheet1!$C$3:$F$1048576,2,0)</f>
        <v>1697</v>
      </c>
      <c r="T133" s="15">
        <f>VLOOKUP(B133,[1]Sheet1!$C$3:$F$1048576,3,0)</f>
        <v>11626104937</v>
      </c>
      <c r="U133" s="15">
        <f>VLOOKUP(B133,[1]Sheet1!$C$3:$F$1048576,4,0)</f>
        <v>2347417046</v>
      </c>
      <c r="V133" s="19">
        <f t="shared" si="2"/>
        <v>6850975.2133176196</v>
      </c>
    </row>
    <row r="134" spans="1:22" x14ac:dyDescent="0.45">
      <c r="A134" s="2" t="s">
        <v>3</v>
      </c>
      <c r="B134" s="4">
        <v>7000000</v>
      </c>
      <c r="C134" s="5">
        <v>1330000</v>
      </c>
      <c r="D134" s="5">
        <v>1445000</v>
      </c>
      <c r="E134" s="5">
        <v>1715000</v>
      </c>
      <c r="F134" s="5">
        <v>1631000</v>
      </c>
      <c r="G134" s="7">
        <v>0.32500000000000001</v>
      </c>
      <c r="H134" s="7">
        <v>0.35</v>
      </c>
      <c r="I134" s="7">
        <v>0.35</v>
      </c>
      <c r="J134" s="7">
        <v>0.35</v>
      </c>
      <c r="K134" s="9">
        <v>0.19</v>
      </c>
      <c r="L134" s="9">
        <v>0.20642857142857143</v>
      </c>
      <c r="M134" s="9">
        <v>0.245</v>
      </c>
      <c r="N134" s="9">
        <v>0.23300000000000001</v>
      </c>
      <c r="O134" s="11">
        <v>1.9565217391304401E-3</v>
      </c>
      <c r="P134" s="11">
        <v>2.080745341614898E-3</v>
      </c>
      <c r="Q134" s="11">
        <v>1.5217391304347683E-3</v>
      </c>
      <c r="R134" s="11">
        <v>1.6956521739130426E-3</v>
      </c>
      <c r="S134" s="15">
        <f>VLOOKUP(B134,[1]Sheet1!$C$3:$F$1048576,2,0)</f>
        <v>1599</v>
      </c>
      <c r="T134" s="15">
        <f>VLOOKUP(B134,[1]Sheet1!$C$3:$F$1048576,3,0)</f>
        <v>11114039101</v>
      </c>
      <c r="U134" s="15">
        <f>VLOOKUP(B134,[1]Sheet1!$C$3:$F$1048576,4,0)</f>
        <v>2285251820</v>
      </c>
      <c r="V134" s="19">
        <f t="shared" si="2"/>
        <v>6950618.5747342091</v>
      </c>
    </row>
    <row r="135" spans="1:22" x14ac:dyDescent="0.45">
      <c r="A135" s="2" t="s">
        <v>3</v>
      </c>
      <c r="B135" s="4">
        <v>7100000</v>
      </c>
      <c r="C135" s="5">
        <v>1362500</v>
      </c>
      <c r="D135" s="5">
        <v>1480000</v>
      </c>
      <c r="E135" s="5">
        <v>1750000</v>
      </c>
      <c r="F135" s="5">
        <v>1666000</v>
      </c>
      <c r="G135" s="7">
        <v>0.32500000000000001</v>
      </c>
      <c r="H135" s="7">
        <v>0.35</v>
      </c>
      <c r="I135" s="7">
        <v>0.35</v>
      </c>
      <c r="J135" s="7">
        <v>0.35</v>
      </c>
      <c r="K135" s="9">
        <v>0.19190140845070422</v>
      </c>
      <c r="L135" s="9">
        <v>0.20845070422535211</v>
      </c>
      <c r="M135" s="9">
        <v>0.24647887323943662</v>
      </c>
      <c r="N135" s="9">
        <v>0.23464788732394365</v>
      </c>
      <c r="O135" s="11">
        <v>1.9014084507042173E-3</v>
      </c>
      <c r="P135" s="11">
        <v>2.022132796780679E-3</v>
      </c>
      <c r="Q135" s="11">
        <v>1.4788732394366289E-3</v>
      </c>
      <c r="R135" s="11">
        <v>1.6478873239436365E-3</v>
      </c>
      <c r="S135" s="15">
        <f>VLOOKUP(B135,[1]Sheet1!$C$3:$F$1048576,2,0)</f>
        <v>1417</v>
      </c>
      <c r="T135" s="15">
        <f>VLOOKUP(B135,[1]Sheet1!$C$3:$F$1048576,3,0)</f>
        <v>9990989536</v>
      </c>
      <c r="U135" s="15">
        <f>VLOOKUP(B135,[1]Sheet1!$C$3:$F$1048576,4,0)</f>
        <v>2101880459</v>
      </c>
      <c r="V135" s="19">
        <f t="shared" si="2"/>
        <v>7050804.1891319687</v>
      </c>
    </row>
    <row r="136" spans="1:22" x14ac:dyDescent="0.45">
      <c r="A136" s="2" t="s">
        <v>3</v>
      </c>
      <c r="B136" s="4">
        <v>7200000</v>
      </c>
      <c r="C136" s="5">
        <v>1395000</v>
      </c>
      <c r="D136" s="5">
        <v>1515000</v>
      </c>
      <c r="E136" s="5">
        <v>1785000</v>
      </c>
      <c r="F136" s="5">
        <v>1701000</v>
      </c>
      <c r="G136" s="7">
        <v>0.32500000000000001</v>
      </c>
      <c r="H136" s="7">
        <v>0.35</v>
      </c>
      <c r="I136" s="7">
        <v>0.35</v>
      </c>
      <c r="J136" s="7">
        <v>0.35</v>
      </c>
      <c r="K136" s="9">
        <v>0.19375000000000001</v>
      </c>
      <c r="L136" s="9">
        <v>0.21041666666666667</v>
      </c>
      <c r="M136" s="9">
        <v>0.24791666666666667</v>
      </c>
      <c r="N136" s="9">
        <v>0.23624999999999999</v>
      </c>
      <c r="O136" s="11">
        <v>1.8485915492957861E-3</v>
      </c>
      <c r="P136" s="11">
        <v>1.965962441314556E-3</v>
      </c>
      <c r="Q136" s="11">
        <v>1.4377934272300497E-3</v>
      </c>
      <c r="R136" s="11">
        <v>1.6021126760563387E-3</v>
      </c>
      <c r="S136" s="15">
        <f>VLOOKUP(B136,[1]Sheet1!$C$3:$F$1048576,2,0)</f>
        <v>2037</v>
      </c>
      <c r="T136" s="15">
        <f>VLOOKUP(B136,[1]Sheet1!$C$3:$F$1048576,3,0)</f>
        <v>14591707700</v>
      </c>
      <c r="U136" s="15">
        <f>VLOOKUP(B136,[1]Sheet1!$C$3:$F$1048576,4,0)</f>
        <v>2714965028</v>
      </c>
      <c r="V136" s="19">
        <f t="shared" si="2"/>
        <v>7163332.204221895</v>
      </c>
    </row>
    <row r="137" spans="1:22" x14ac:dyDescent="0.45">
      <c r="A137" s="2" t="s">
        <v>3</v>
      </c>
      <c r="B137" s="4">
        <v>7300000</v>
      </c>
      <c r="C137" s="5">
        <v>1427500</v>
      </c>
      <c r="D137" s="5">
        <v>1550000</v>
      </c>
      <c r="E137" s="5">
        <v>1820000</v>
      </c>
      <c r="F137" s="5">
        <v>1736000</v>
      </c>
      <c r="G137" s="7">
        <v>0.32500000000000001</v>
      </c>
      <c r="H137" s="7">
        <v>0.35</v>
      </c>
      <c r="I137" s="7">
        <v>0.35</v>
      </c>
      <c r="J137" s="7">
        <v>0.35</v>
      </c>
      <c r="K137" s="9">
        <v>0.19554794520547944</v>
      </c>
      <c r="L137" s="9">
        <v>0.21232876712328766</v>
      </c>
      <c r="M137" s="9">
        <v>0.24931506849315069</v>
      </c>
      <c r="N137" s="9">
        <v>0.2378082191780822</v>
      </c>
      <c r="O137" s="11">
        <v>1.7979452054794343E-3</v>
      </c>
      <c r="P137" s="11">
        <v>1.9121004566209909E-3</v>
      </c>
      <c r="Q137" s="11">
        <v>1.3984018264840137E-3</v>
      </c>
      <c r="R137" s="11">
        <v>1.5582191780822152E-3</v>
      </c>
      <c r="S137" s="15">
        <f>VLOOKUP(B137,[1]Sheet1!$C$3:$F$1048576,2,0)</f>
        <v>1379</v>
      </c>
      <c r="T137" s="15">
        <f>VLOOKUP(B137,[1]Sheet1!$C$3:$F$1048576,3,0)</f>
        <v>9996704908</v>
      </c>
      <c r="U137" s="15">
        <f>VLOOKUP(B137,[1]Sheet1!$C$3:$F$1048576,4,0)</f>
        <v>2079901534</v>
      </c>
      <c r="V137" s="19">
        <f t="shared" si="2"/>
        <v>7249242.1377810007</v>
      </c>
    </row>
    <row r="138" spans="1:22" x14ac:dyDescent="0.45">
      <c r="A138" s="2" t="s">
        <v>3</v>
      </c>
      <c r="B138" s="4">
        <v>7400000</v>
      </c>
      <c r="C138" s="5">
        <v>1460000</v>
      </c>
      <c r="D138" s="5">
        <v>1585000</v>
      </c>
      <c r="E138" s="5">
        <v>1855000</v>
      </c>
      <c r="F138" s="5">
        <v>1771000</v>
      </c>
      <c r="G138" s="7">
        <v>0.32500000000000001</v>
      </c>
      <c r="H138" s="7">
        <v>0.35</v>
      </c>
      <c r="I138" s="7">
        <v>0.35</v>
      </c>
      <c r="J138" s="7">
        <v>0.35</v>
      </c>
      <c r="K138" s="9">
        <v>0.19729729729729731</v>
      </c>
      <c r="L138" s="9">
        <v>0.21418918918918919</v>
      </c>
      <c r="M138" s="9">
        <v>0.25067567567567567</v>
      </c>
      <c r="N138" s="9">
        <v>0.23932432432432432</v>
      </c>
      <c r="O138" s="11">
        <v>1.7493520918178684E-3</v>
      </c>
      <c r="P138" s="11">
        <v>1.8604220659015347E-3</v>
      </c>
      <c r="Q138" s="11">
        <v>1.360607182524981E-3</v>
      </c>
      <c r="R138" s="11">
        <v>1.5161051462421193E-3</v>
      </c>
      <c r="S138" s="15">
        <f>VLOOKUP(B138,[1]Sheet1!$C$3:$F$1048576,2,0)</f>
        <v>1400</v>
      </c>
      <c r="T138" s="15">
        <f>VLOOKUP(B138,[1]Sheet1!$C$3:$F$1048576,3,0)</f>
        <v>10288400640</v>
      </c>
      <c r="U138" s="15">
        <f>VLOOKUP(B138,[1]Sheet1!$C$3:$F$1048576,4,0)</f>
        <v>2137492045</v>
      </c>
      <c r="V138" s="19">
        <f t="shared" si="2"/>
        <v>7348857.5999999996</v>
      </c>
    </row>
    <row r="139" spans="1:22" x14ac:dyDescent="0.45">
      <c r="A139" s="2" t="s">
        <v>3</v>
      </c>
      <c r="B139" s="4">
        <v>7500000</v>
      </c>
      <c r="C139" s="5">
        <v>1492500</v>
      </c>
      <c r="D139" s="5">
        <v>1620000</v>
      </c>
      <c r="E139" s="5">
        <v>1890000</v>
      </c>
      <c r="F139" s="5">
        <v>1806000</v>
      </c>
      <c r="G139" s="7">
        <v>0.32500000000000001</v>
      </c>
      <c r="H139" s="7">
        <v>0.35</v>
      </c>
      <c r="I139" s="7">
        <v>0.35</v>
      </c>
      <c r="J139" s="7">
        <v>0.35</v>
      </c>
      <c r="K139" s="9">
        <v>0.19900000000000001</v>
      </c>
      <c r="L139" s="9">
        <v>0.216</v>
      </c>
      <c r="M139" s="9">
        <v>0.252</v>
      </c>
      <c r="N139" s="9">
        <v>0.24079999999999999</v>
      </c>
      <c r="O139" s="11">
        <v>1.702702702702702E-3</v>
      </c>
      <c r="P139" s="11">
        <v>1.8108108108108034E-3</v>
      </c>
      <c r="Q139" s="11">
        <v>1.324324324324333E-3</v>
      </c>
      <c r="R139" s="11">
        <v>1.4756756756756639E-3</v>
      </c>
      <c r="S139" s="15">
        <f>VLOOKUP(B139,[1]Sheet1!$C$3:$F$1048576,2,0)</f>
        <v>1313</v>
      </c>
      <c r="T139" s="15">
        <f>VLOOKUP(B139,[1]Sheet1!$C$3:$F$1048576,3,0)</f>
        <v>9782569811</v>
      </c>
      <c r="U139" s="15">
        <f>VLOOKUP(B139,[1]Sheet1!$C$3:$F$1048576,4,0)</f>
        <v>2030680915</v>
      </c>
      <c r="V139" s="19">
        <f t="shared" si="2"/>
        <v>7450548.2185833966</v>
      </c>
    </row>
    <row r="140" spans="1:22" x14ac:dyDescent="0.45">
      <c r="A140" s="2" t="s">
        <v>3</v>
      </c>
      <c r="B140" s="4">
        <v>7600000</v>
      </c>
      <c r="C140" s="5">
        <v>1525000</v>
      </c>
      <c r="D140" s="5">
        <v>1655000</v>
      </c>
      <c r="E140" s="5">
        <v>1925000</v>
      </c>
      <c r="F140" s="5">
        <v>1841000</v>
      </c>
      <c r="G140" s="7">
        <v>0.32500000000000001</v>
      </c>
      <c r="H140" s="7">
        <v>0.35</v>
      </c>
      <c r="I140" s="7">
        <v>0.35</v>
      </c>
      <c r="J140" s="7">
        <v>0.35</v>
      </c>
      <c r="K140" s="9">
        <v>0.20065789473684212</v>
      </c>
      <c r="L140" s="9">
        <v>0.21776315789473685</v>
      </c>
      <c r="M140" s="9">
        <v>0.25328947368421051</v>
      </c>
      <c r="N140" s="9">
        <v>0.24223684210526317</v>
      </c>
      <c r="O140" s="11">
        <v>1.6578947368421082E-3</v>
      </c>
      <c r="P140" s="11">
        <v>1.7631578947368554E-3</v>
      </c>
      <c r="Q140" s="11">
        <v>1.289473684210507E-3</v>
      </c>
      <c r="R140" s="11">
        <v>1.4368421052631808E-3</v>
      </c>
      <c r="S140" s="15">
        <f>VLOOKUP(B140,[1]Sheet1!$C$3:$F$1048576,2,0)</f>
        <v>1294</v>
      </c>
      <c r="T140" s="15">
        <f>VLOOKUP(B140,[1]Sheet1!$C$3:$F$1048576,3,0)</f>
        <v>9769006180</v>
      </c>
      <c r="U140" s="15">
        <f>VLOOKUP(B140,[1]Sheet1!$C$3:$F$1048576,4,0)</f>
        <v>2023415509</v>
      </c>
      <c r="V140" s="19">
        <f t="shared" si="2"/>
        <v>7549463.8176197838</v>
      </c>
    </row>
    <row r="141" spans="1:22" x14ac:dyDescent="0.45">
      <c r="A141" s="2" t="s">
        <v>3</v>
      </c>
      <c r="B141" s="4">
        <v>7700000</v>
      </c>
      <c r="C141" s="5">
        <v>1557500</v>
      </c>
      <c r="D141" s="5">
        <v>1690000</v>
      </c>
      <c r="E141" s="5">
        <v>1960000</v>
      </c>
      <c r="F141" s="5">
        <v>1876000</v>
      </c>
      <c r="G141" s="7">
        <v>0.32500000000000001</v>
      </c>
      <c r="H141" s="7">
        <v>0.35</v>
      </c>
      <c r="I141" s="7">
        <v>0.35</v>
      </c>
      <c r="J141" s="7">
        <v>0.35</v>
      </c>
      <c r="K141" s="9">
        <v>0.20227272727272727</v>
      </c>
      <c r="L141" s="9">
        <v>0.21948051948051947</v>
      </c>
      <c r="M141" s="9">
        <v>0.25454545454545452</v>
      </c>
      <c r="N141" s="9">
        <v>0.24363636363636362</v>
      </c>
      <c r="O141" s="11">
        <v>1.6148325358851523E-3</v>
      </c>
      <c r="P141" s="11">
        <v>1.7173615857826174E-3</v>
      </c>
      <c r="Q141" s="11">
        <v>1.2559808612440104E-3</v>
      </c>
      <c r="R141" s="11">
        <v>1.3995215311004561E-3</v>
      </c>
      <c r="S141" s="15">
        <f>VLOOKUP(B141,[1]Sheet1!$C$3:$F$1048576,2,0)</f>
        <v>1270</v>
      </c>
      <c r="T141" s="15">
        <f>VLOOKUP(B141,[1]Sheet1!$C$3:$F$1048576,3,0)</f>
        <v>9715728374</v>
      </c>
      <c r="U141" s="15">
        <f>VLOOKUP(B141,[1]Sheet1!$C$3:$F$1048576,4,0)</f>
        <v>2010939277</v>
      </c>
      <c r="V141" s="19">
        <f t="shared" si="2"/>
        <v>7650179.8220472438</v>
      </c>
    </row>
    <row r="142" spans="1:22" x14ac:dyDescent="0.45">
      <c r="A142" s="2" t="s">
        <v>3</v>
      </c>
      <c r="B142" s="4">
        <v>7800000</v>
      </c>
      <c r="C142" s="5">
        <v>1590000</v>
      </c>
      <c r="D142" s="5">
        <v>1725000</v>
      </c>
      <c r="E142" s="5">
        <v>1995000</v>
      </c>
      <c r="F142" s="5">
        <v>1911000</v>
      </c>
      <c r="G142" s="7">
        <v>0.32500000000000001</v>
      </c>
      <c r="H142" s="7">
        <v>0.35</v>
      </c>
      <c r="I142" s="7">
        <v>0.35</v>
      </c>
      <c r="J142" s="7">
        <v>0.35</v>
      </c>
      <c r="K142" s="9">
        <v>0.20384615384615384</v>
      </c>
      <c r="L142" s="9">
        <v>0.22115384615384615</v>
      </c>
      <c r="M142" s="9">
        <v>0.25576923076923075</v>
      </c>
      <c r="N142" s="9">
        <v>0.245</v>
      </c>
      <c r="O142" s="11">
        <v>1.5734265734265729E-3</v>
      </c>
      <c r="P142" s="11">
        <v>1.673326673326675E-3</v>
      </c>
      <c r="Q142" s="11">
        <v>1.2237762237762295E-3</v>
      </c>
      <c r="R142" s="11">
        <v>1.3636363636363724E-3</v>
      </c>
      <c r="S142" s="15">
        <f>VLOOKUP(B142,[1]Sheet1!$C$3:$F$1048576,2,0)</f>
        <v>1293</v>
      </c>
      <c r="T142" s="15">
        <f>VLOOKUP(B142,[1]Sheet1!$C$3:$F$1048576,3,0)</f>
        <v>10024083189</v>
      </c>
      <c r="U142" s="15">
        <f>VLOOKUP(B142,[1]Sheet1!$C$3:$F$1048576,4,0)</f>
        <v>2117642115</v>
      </c>
      <c r="V142" s="19">
        <f t="shared" si="2"/>
        <v>7752577.8723897915</v>
      </c>
    </row>
    <row r="143" spans="1:22" x14ac:dyDescent="0.45">
      <c r="A143" s="2" t="s">
        <v>3</v>
      </c>
      <c r="B143" s="4">
        <v>7900000</v>
      </c>
      <c r="C143" s="5">
        <v>1622500</v>
      </c>
      <c r="D143" s="5">
        <v>1760000</v>
      </c>
      <c r="E143" s="5">
        <v>2030000</v>
      </c>
      <c r="F143" s="5">
        <v>1946000</v>
      </c>
      <c r="G143" s="7">
        <v>0.32500000000000001</v>
      </c>
      <c r="H143" s="7">
        <v>0.35</v>
      </c>
      <c r="I143" s="7">
        <v>0.35</v>
      </c>
      <c r="J143" s="7">
        <v>0.35</v>
      </c>
      <c r="K143" s="9">
        <v>0.20537974683544305</v>
      </c>
      <c r="L143" s="9">
        <v>0.22278481012658227</v>
      </c>
      <c r="M143" s="9">
        <v>0.25696202531645568</v>
      </c>
      <c r="N143" s="9">
        <v>0.24632911392405063</v>
      </c>
      <c r="O143" s="11">
        <v>1.5335929892892064E-3</v>
      </c>
      <c r="P143" s="11">
        <v>1.6309639727361269E-3</v>
      </c>
      <c r="Q143" s="11">
        <v>1.1927945472249291E-3</v>
      </c>
      <c r="R143" s="11">
        <v>1.3291139240506344E-3</v>
      </c>
      <c r="S143" s="15">
        <f>VLOOKUP(B143,[1]Sheet1!$C$3:$F$1048576,2,0)</f>
        <v>1136</v>
      </c>
      <c r="T143" s="15">
        <f>VLOOKUP(B143,[1]Sheet1!$C$3:$F$1048576,3,0)</f>
        <v>8917139501</v>
      </c>
      <c r="U143" s="15">
        <f>VLOOKUP(B143,[1]Sheet1!$C$3:$F$1048576,4,0)</f>
        <v>1872444805</v>
      </c>
      <c r="V143" s="19">
        <f t="shared" si="2"/>
        <v>7849594.6311619719</v>
      </c>
    </row>
    <row r="144" spans="1:22" x14ac:dyDescent="0.45">
      <c r="A144" s="2" t="s">
        <v>3</v>
      </c>
      <c r="B144" s="4">
        <v>8000000</v>
      </c>
      <c r="C144" s="5">
        <v>1655000</v>
      </c>
      <c r="D144" s="5">
        <v>1795000</v>
      </c>
      <c r="E144" s="5">
        <v>2065000</v>
      </c>
      <c r="F144" s="5">
        <v>1981000</v>
      </c>
      <c r="G144" s="7">
        <v>0.32500000000000001</v>
      </c>
      <c r="H144" s="7">
        <v>0.35</v>
      </c>
      <c r="I144" s="7">
        <v>0.35</v>
      </c>
      <c r="J144" s="7">
        <v>0.35</v>
      </c>
      <c r="K144" s="9">
        <v>0.206875</v>
      </c>
      <c r="L144" s="9">
        <v>0.22437499999999999</v>
      </c>
      <c r="M144" s="9">
        <v>0.25812499999999999</v>
      </c>
      <c r="N144" s="9">
        <v>0.24762500000000001</v>
      </c>
      <c r="O144" s="11">
        <v>1.4952531645569533E-3</v>
      </c>
      <c r="P144" s="11">
        <v>1.5901898734177189E-3</v>
      </c>
      <c r="Q144" s="11">
        <v>1.1629746835443155E-3</v>
      </c>
      <c r="R144" s="11">
        <v>1.2958860759493818E-3</v>
      </c>
      <c r="S144" s="15">
        <f>VLOOKUP(B144,[1]Sheet1!$C$3:$F$1048576,2,0)</f>
        <v>1204</v>
      </c>
      <c r="T144" s="15">
        <f>VLOOKUP(B144,[1]Sheet1!$C$3:$F$1048576,3,0)</f>
        <v>9574050415</v>
      </c>
      <c r="U144" s="15">
        <f>VLOOKUP(B144,[1]Sheet1!$C$3:$F$1048576,4,0)</f>
        <v>1882038874</v>
      </c>
      <c r="V144" s="19">
        <f t="shared" si="2"/>
        <v>7951869.1154485047</v>
      </c>
    </row>
    <row r="145" spans="1:22" x14ac:dyDescent="0.45">
      <c r="A145" s="2" t="s">
        <v>3</v>
      </c>
      <c r="B145" s="4">
        <v>8100000</v>
      </c>
      <c r="C145" s="5">
        <v>1687500</v>
      </c>
      <c r="D145" s="5">
        <v>1830000</v>
      </c>
      <c r="E145" s="5">
        <v>2100000</v>
      </c>
      <c r="F145" s="5">
        <v>2016000</v>
      </c>
      <c r="G145" s="7">
        <v>0.32500000000000001</v>
      </c>
      <c r="H145" s="7">
        <v>0.35</v>
      </c>
      <c r="I145" s="7">
        <v>0.35</v>
      </c>
      <c r="J145" s="7">
        <v>0.35</v>
      </c>
      <c r="K145" s="9">
        <v>0.20833333333333334</v>
      </c>
      <c r="L145" s="9">
        <v>0.22592592592592592</v>
      </c>
      <c r="M145" s="9">
        <v>0.25925925925925924</v>
      </c>
      <c r="N145" s="9">
        <v>0.24888888888888888</v>
      </c>
      <c r="O145" s="11">
        <v>1.4583333333333393E-3</v>
      </c>
      <c r="P145" s="11">
        <v>1.5509259259259278E-3</v>
      </c>
      <c r="Q145" s="11">
        <v>1.1342592592592515E-3</v>
      </c>
      <c r="R145" s="11">
        <v>1.26388888888887E-3</v>
      </c>
      <c r="S145" s="15">
        <f>VLOOKUP(B145,[1]Sheet1!$C$3:$F$1048576,2,0)</f>
        <v>1067</v>
      </c>
      <c r="T145" s="15">
        <f>VLOOKUP(B145,[1]Sheet1!$C$3:$F$1048576,3,0)</f>
        <v>8591698669</v>
      </c>
      <c r="U145" s="15">
        <f>VLOOKUP(B145,[1]Sheet1!$C$3:$F$1048576,4,0)</f>
        <v>1852860656</v>
      </c>
      <c r="V145" s="19">
        <f t="shared" si="2"/>
        <v>8052201.1893158387</v>
      </c>
    </row>
    <row r="146" spans="1:22" x14ac:dyDescent="0.45">
      <c r="A146" s="2" t="s">
        <v>3</v>
      </c>
      <c r="B146" s="4">
        <v>8200000</v>
      </c>
      <c r="C146" s="5">
        <v>1720000</v>
      </c>
      <c r="D146" s="5">
        <v>1865000</v>
      </c>
      <c r="E146" s="5">
        <v>2135000</v>
      </c>
      <c r="F146" s="5">
        <v>2051000</v>
      </c>
      <c r="G146" s="7">
        <v>0.32500000000000001</v>
      </c>
      <c r="H146" s="7">
        <v>0.35</v>
      </c>
      <c r="I146" s="7">
        <v>0.35</v>
      </c>
      <c r="J146" s="7">
        <v>0.35</v>
      </c>
      <c r="K146" s="9">
        <v>0.2097560975609756</v>
      </c>
      <c r="L146" s="9">
        <v>0.22743902439024391</v>
      </c>
      <c r="M146" s="9">
        <v>0.26036585365853659</v>
      </c>
      <c r="N146" s="9">
        <v>0.2501219512195122</v>
      </c>
      <c r="O146" s="11">
        <v>1.4227642276422592E-3</v>
      </c>
      <c r="P146" s="11">
        <v>1.5130984643179912E-3</v>
      </c>
      <c r="Q146" s="11">
        <v>1.1065943992773497E-3</v>
      </c>
      <c r="R146" s="11">
        <v>1.2330623306233135E-3</v>
      </c>
      <c r="S146" s="15">
        <f>VLOOKUP(B146,[1]Sheet1!$C$3:$F$1048576,2,0)</f>
        <v>1013</v>
      </c>
      <c r="T146" s="15">
        <f>VLOOKUP(B146,[1]Sheet1!$C$3:$F$1048576,3,0)</f>
        <v>8256621028</v>
      </c>
      <c r="U146" s="15">
        <f>VLOOKUP(B146,[1]Sheet1!$C$3:$F$1048576,4,0)</f>
        <v>1754541179</v>
      </c>
      <c r="V146" s="19">
        <f t="shared" si="2"/>
        <v>8150662.4165844023</v>
      </c>
    </row>
    <row r="147" spans="1:22" x14ac:dyDescent="0.45">
      <c r="A147" s="2" t="s">
        <v>3</v>
      </c>
      <c r="B147" s="4">
        <v>8300000</v>
      </c>
      <c r="C147" s="5">
        <v>1752500</v>
      </c>
      <c r="D147" s="5">
        <v>1900000</v>
      </c>
      <c r="E147" s="5">
        <v>2170000</v>
      </c>
      <c r="F147" s="5">
        <v>2086000</v>
      </c>
      <c r="G147" s="7">
        <v>0.32500000000000001</v>
      </c>
      <c r="H147" s="7">
        <v>0.35</v>
      </c>
      <c r="I147" s="7">
        <v>0.35</v>
      </c>
      <c r="J147" s="7">
        <v>0.35</v>
      </c>
      <c r="K147" s="9">
        <v>0.21114457831325301</v>
      </c>
      <c r="L147" s="9">
        <v>0.2289156626506024</v>
      </c>
      <c r="M147" s="9">
        <v>0.26144578313253014</v>
      </c>
      <c r="N147" s="9">
        <v>0.25132530120481927</v>
      </c>
      <c r="O147" s="11">
        <v>1.3884807522774045E-3</v>
      </c>
      <c r="P147" s="11">
        <v>1.4766382603584871E-3</v>
      </c>
      <c r="Q147" s="11">
        <v>1.0799294739935461E-3</v>
      </c>
      <c r="R147" s="11">
        <v>1.2033499853070784E-3</v>
      </c>
      <c r="S147" s="15">
        <f>VLOOKUP(B147,[1]Sheet1!$C$3:$F$1048576,2,0)</f>
        <v>883</v>
      </c>
      <c r="T147" s="15">
        <f>VLOOKUP(B147,[1]Sheet1!$C$3:$F$1048576,3,0)</f>
        <v>7284706870</v>
      </c>
      <c r="U147" s="15">
        <f>VLOOKUP(B147,[1]Sheet1!$C$3:$F$1048576,4,0)</f>
        <v>1542440851</v>
      </c>
      <c r="V147" s="19">
        <f t="shared" si="2"/>
        <v>8249951.155152888</v>
      </c>
    </row>
    <row r="148" spans="1:22" x14ac:dyDescent="0.45">
      <c r="A148" s="2" t="s">
        <v>3</v>
      </c>
      <c r="B148" s="4">
        <v>8400000</v>
      </c>
      <c r="C148" s="5">
        <v>1785000</v>
      </c>
      <c r="D148" s="5">
        <v>1935000</v>
      </c>
      <c r="E148" s="5">
        <v>2205000</v>
      </c>
      <c r="F148" s="5">
        <v>2121000</v>
      </c>
      <c r="G148" s="7">
        <v>0.32500000000000001</v>
      </c>
      <c r="H148" s="7">
        <v>0.35</v>
      </c>
      <c r="I148" s="7">
        <v>0.35</v>
      </c>
      <c r="J148" s="7">
        <v>0.35</v>
      </c>
      <c r="K148" s="9">
        <v>0.21249999999999999</v>
      </c>
      <c r="L148" s="9">
        <v>0.23035714285714284</v>
      </c>
      <c r="M148" s="9">
        <v>0.26250000000000001</v>
      </c>
      <c r="N148" s="9">
        <v>0.2525</v>
      </c>
      <c r="O148" s="11">
        <v>1.3554216867469882E-3</v>
      </c>
      <c r="P148" s="11">
        <v>1.4414802065404464E-3</v>
      </c>
      <c r="Q148" s="11">
        <v>1.0542168674698704E-3</v>
      </c>
      <c r="R148" s="11">
        <v>1.1746987951807286E-3</v>
      </c>
      <c r="S148" s="15">
        <f>VLOOKUP(B148,[1]Sheet1!$C$3:$F$1048576,2,0)</f>
        <v>1068</v>
      </c>
      <c r="T148" s="15">
        <f>VLOOKUP(B148,[1]Sheet1!$C$3:$F$1048576,3,0)</f>
        <v>8926939144</v>
      </c>
      <c r="U148" s="15">
        <f>VLOOKUP(B148,[1]Sheet1!$C$3:$F$1048576,4,0)</f>
        <v>1882361558</v>
      </c>
      <c r="V148" s="19">
        <f t="shared" si="2"/>
        <v>8358557.2509363294</v>
      </c>
    </row>
    <row r="149" spans="1:22" x14ac:dyDescent="0.45">
      <c r="A149" s="2" t="s">
        <v>3</v>
      </c>
      <c r="B149" s="4">
        <v>8500000</v>
      </c>
      <c r="C149" s="5">
        <v>1817500</v>
      </c>
      <c r="D149" s="5">
        <v>1970000</v>
      </c>
      <c r="E149" s="5">
        <v>2240000</v>
      </c>
      <c r="F149" s="5">
        <v>2156000</v>
      </c>
      <c r="G149" s="7">
        <v>0.32500000000000001</v>
      </c>
      <c r="H149" s="7">
        <v>0.35</v>
      </c>
      <c r="I149" s="7">
        <v>0.35</v>
      </c>
      <c r="J149" s="7">
        <v>0.35</v>
      </c>
      <c r="K149" s="9">
        <v>0.21382352941176472</v>
      </c>
      <c r="L149" s="9">
        <v>0.23176470588235293</v>
      </c>
      <c r="M149" s="9">
        <v>0.2635294117647059</v>
      </c>
      <c r="N149" s="9">
        <v>0.25364705882352939</v>
      </c>
      <c r="O149" s="11">
        <v>1.3235294117647234E-3</v>
      </c>
      <c r="P149" s="11">
        <v>1.4075630252100846E-3</v>
      </c>
      <c r="Q149" s="11">
        <v>1.0294117647058898E-3</v>
      </c>
      <c r="R149" s="11">
        <v>1.1470588235293899E-3</v>
      </c>
      <c r="S149" s="15">
        <f>VLOOKUP(B149,[1]Sheet1!$C$3:$F$1048576,2,0)</f>
        <v>909</v>
      </c>
      <c r="T149" s="15">
        <f>VLOOKUP(B149,[1]Sheet1!$C$3:$F$1048576,3,0)</f>
        <v>7679711367</v>
      </c>
      <c r="U149" s="15">
        <f>VLOOKUP(B149,[1]Sheet1!$C$3:$F$1048576,4,0)</f>
        <v>1690965301</v>
      </c>
      <c r="V149" s="19">
        <f t="shared" si="2"/>
        <v>8448527.3564356435</v>
      </c>
    </row>
    <row r="150" spans="1:22" x14ac:dyDescent="0.45">
      <c r="A150" s="2" t="s">
        <v>3</v>
      </c>
      <c r="B150" s="4">
        <v>8600000</v>
      </c>
      <c r="C150" s="5">
        <v>1850000</v>
      </c>
      <c r="D150" s="5">
        <v>2005000</v>
      </c>
      <c r="E150" s="5">
        <v>2275000</v>
      </c>
      <c r="F150" s="5">
        <v>2191000</v>
      </c>
      <c r="G150" s="7">
        <v>0.32500000000000001</v>
      </c>
      <c r="H150" s="7">
        <v>0.35</v>
      </c>
      <c r="I150" s="7">
        <v>0.35</v>
      </c>
      <c r="J150" s="7">
        <v>0.35</v>
      </c>
      <c r="K150" s="9">
        <v>0.21511627906976744</v>
      </c>
      <c r="L150" s="9">
        <v>0.23313953488372094</v>
      </c>
      <c r="M150" s="9">
        <v>0.26453488372093026</v>
      </c>
      <c r="N150" s="9">
        <v>0.25476744186046513</v>
      </c>
      <c r="O150" s="11">
        <v>1.2927496580027176E-3</v>
      </c>
      <c r="P150" s="11">
        <v>1.3748290013680109E-3</v>
      </c>
      <c r="Q150" s="11">
        <v>1.0054719562243575E-3</v>
      </c>
      <c r="R150" s="11">
        <v>1.1203830369357348E-3</v>
      </c>
      <c r="S150" s="15">
        <f>VLOOKUP(B150,[1]Sheet1!$C$3:$F$1048576,2,0)</f>
        <v>869</v>
      </c>
      <c r="T150" s="15">
        <f>VLOOKUP(B150,[1]Sheet1!$C$3:$F$1048576,3,0)</f>
        <v>7431153700</v>
      </c>
      <c r="U150" s="15">
        <f>VLOOKUP(B150,[1]Sheet1!$C$3:$F$1048576,4,0)</f>
        <v>1634775254</v>
      </c>
      <c r="V150" s="19">
        <f t="shared" si="2"/>
        <v>8551385.1553509776</v>
      </c>
    </row>
    <row r="151" spans="1:22" x14ac:dyDescent="0.45">
      <c r="A151" s="2" t="s">
        <v>3</v>
      </c>
      <c r="B151" s="4">
        <v>8700000</v>
      </c>
      <c r="C151" s="5">
        <v>1882500</v>
      </c>
      <c r="D151" s="5">
        <v>2040000</v>
      </c>
      <c r="E151" s="5">
        <v>2310000</v>
      </c>
      <c r="F151" s="5">
        <v>2226000</v>
      </c>
      <c r="G151" s="7">
        <v>0.32500000000000001</v>
      </c>
      <c r="H151" s="7">
        <v>0.35</v>
      </c>
      <c r="I151" s="7">
        <v>0.35</v>
      </c>
      <c r="J151" s="7">
        <v>0.35</v>
      </c>
      <c r="K151" s="9">
        <v>0.21637931034482757</v>
      </c>
      <c r="L151" s="9">
        <v>0.23448275862068965</v>
      </c>
      <c r="M151" s="9">
        <v>0.26551724137931032</v>
      </c>
      <c r="N151" s="9">
        <v>0.25586206896551722</v>
      </c>
      <c r="O151" s="11">
        <v>1.2630312750601391E-3</v>
      </c>
      <c r="P151" s="11">
        <v>1.3432237369687128E-3</v>
      </c>
      <c r="Q151" s="11">
        <v>9.8235765838006195E-4</v>
      </c>
      <c r="R151" s="11">
        <v>1.0946271050520928E-3</v>
      </c>
      <c r="S151" s="15">
        <f>VLOOKUP(B151,[1]Sheet1!$C$3:$F$1048576,2,0)</f>
        <v>921</v>
      </c>
      <c r="T151" s="15">
        <f>VLOOKUP(B151,[1]Sheet1!$C$3:$F$1048576,3,0)</f>
        <v>7965142153</v>
      </c>
      <c r="U151" s="15">
        <f>VLOOKUP(B151,[1]Sheet1!$C$3:$F$1048576,4,0)</f>
        <v>1679737060</v>
      </c>
      <c r="V151" s="19">
        <f t="shared" si="2"/>
        <v>8648362.8154180236</v>
      </c>
    </row>
    <row r="152" spans="1:22" x14ac:dyDescent="0.45">
      <c r="A152" s="2" t="s">
        <v>3</v>
      </c>
      <c r="B152" s="4">
        <v>8800000</v>
      </c>
      <c r="C152" s="5">
        <v>1915000</v>
      </c>
      <c r="D152" s="5">
        <v>2075000</v>
      </c>
      <c r="E152" s="5">
        <v>2345000</v>
      </c>
      <c r="F152" s="5">
        <v>2261000</v>
      </c>
      <c r="G152" s="7">
        <v>0.32500000000000001</v>
      </c>
      <c r="H152" s="7">
        <v>0.35</v>
      </c>
      <c r="I152" s="7">
        <v>0.35</v>
      </c>
      <c r="J152" s="7">
        <v>0.35</v>
      </c>
      <c r="K152" s="9">
        <v>0.21761363636363637</v>
      </c>
      <c r="L152" s="9">
        <v>0.23579545454545456</v>
      </c>
      <c r="M152" s="9">
        <v>0.26647727272727273</v>
      </c>
      <c r="N152" s="9">
        <v>0.25693181818181821</v>
      </c>
      <c r="O152" s="11">
        <v>1.2343260188087957E-3</v>
      </c>
      <c r="P152" s="11">
        <v>1.3126959247649062E-3</v>
      </c>
      <c r="Q152" s="11">
        <v>9.6003134796240897E-4</v>
      </c>
      <c r="R152" s="11">
        <v>1.0697492163009859E-3</v>
      </c>
      <c r="S152" s="15">
        <f>VLOOKUP(B152,[1]Sheet1!$C$3:$F$1048576,2,0)</f>
        <v>814</v>
      </c>
      <c r="T152" s="15">
        <f>VLOOKUP(B152,[1]Sheet1!$C$3:$F$1048576,3,0)</f>
        <v>7122239605</v>
      </c>
      <c r="U152" s="15">
        <f>VLOOKUP(B152,[1]Sheet1!$C$3:$F$1048576,4,0)</f>
        <v>1578914662</v>
      </c>
      <c r="V152" s="19">
        <f t="shared" si="2"/>
        <v>8749680.1044226047</v>
      </c>
    </row>
    <row r="153" spans="1:22" x14ac:dyDescent="0.45">
      <c r="A153" s="2" t="s">
        <v>3</v>
      </c>
      <c r="B153" s="4">
        <v>8900000</v>
      </c>
      <c r="C153" s="5">
        <v>1947500</v>
      </c>
      <c r="D153" s="5">
        <v>2110000</v>
      </c>
      <c r="E153" s="5">
        <v>2380000</v>
      </c>
      <c r="F153" s="5">
        <v>2296000</v>
      </c>
      <c r="G153" s="7">
        <v>0.32500000000000001</v>
      </c>
      <c r="H153" s="7">
        <v>0.35</v>
      </c>
      <c r="I153" s="7">
        <v>0.35</v>
      </c>
      <c r="J153" s="7">
        <v>0.35</v>
      </c>
      <c r="K153" s="9">
        <v>0.21882022471910112</v>
      </c>
      <c r="L153" s="9">
        <v>0.23707865168539327</v>
      </c>
      <c r="M153" s="9">
        <v>0.26741573033707866</v>
      </c>
      <c r="N153" s="9">
        <v>0.25797752808988766</v>
      </c>
      <c r="O153" s="11">
        <v>1.2065883554647494E-3</v>
      </c>
      <c r="P153" s="11">
        <v>1.2831971399387132E-3</v>
      </c>
      <c r="Q153" s="11">
        <v>9.3845760980593163E-4</v>
      </c>
      <c r="R153" s="11">
        <v>1.0457099080694587E-3</v>
      </c>
      <c r="S153" s="15">
        <f>VLOOKUP(B153,[1]Sheet1!$C$3:$F$1048576,2,0)</f>
        <v>779</v>
      </c>
      <c r="T153" s="15">
        <f>VLOOKUP(B153,[1]Sheet1!$C$3:$F$1048576,3,0)</f>
        <v>6893496967</v>
      </c>
      <c r="U153" s="15">
        <f>VLOOKUP(B153,[1]Sheet1!$C$3:$F$1048576,4,0)</f>
        <v>1516227640</v>
      </c>
      <c r="V153" s="19">
        <f t="shared" si="2"/>
        <v>8849161.7034659814</v>
      </c>
    </row>
    <row r="154" spans="1:22" x14ac:dyDescent="0.45">
      <c r="A154" s="2" t="s">
        <v>3</v>
      </c>
      <c r="B154" s="4">
        <v>9000000</v>
      </c>
      <c r="C154" s="5">
        <v>1980000</v>
      </c>
      <c r="D154" s="5">
        <v>2145000</v>
      </c>
      <c r="E154" s="5">
        <v>2415000</v>
      </c>
      <c r="F154" s="5">
        <v>2331000</v>
      </c>
      <c r="G154" s="7">
        <v>0.32500000000000001</v>
      </c>
      <c r="H154" s="7">
        <v>0.35</v>
      </c>
      <c r="I154" s="7">
        <v>0.35</v>
      </c>
      <c r="J154" s="7">
        <v>0.35</v>
      </c>
      <c r="K154" s="9">
        <v>0.22</v>
      </c>
      <c r="L154" s="9">
        <v>0.23833333333333334</v>
      </c>
      <c r="M154" s="9">
        <v>0.26833333333333331</v>
      </c>
      <c r="N154" s="9">
        <v>0.25900000000000001</v>
      </c>
      <c r="O154" s="11">
        <v>1.1797752808988815E-3</v>
      </c>
      <c r="P154" s="11">
        <v>1.2546816479400702E-3</v>
      </c>
      <c r="Q154" s="11">
        <v>9.1760299625465169E-4</v>
      </c>
      <c r="R154" s="11">
        <v>1.0224719101123436E-3</v>
      </c>
      <c r="S154" s="15">
        <f>VLOOKUP(B154,[1]Sheet1!$C$3:$F$1048576,2,0)</f>
        <v>898</v>
      </c>
      <c r="T154" s="15">
        <f>VLOOKUP(B154,[1]Sheet1!$C$3:$F$1048576,3,0)</f>
        <v>8043355071</v>
      </c>
      <c r="U154" s="15">
        <f>VLOOKUP(B154,[1]Sheet1!$C$3:$F$1048576,4,0)</f>
        <v>1722068862</v>
      </c>
      <c r="V154" s="19">
        <f t="shared" si="2"/>
        <v>8956965.5579064582</v>
      </c>
    </row>
    <row r="155" spans="1:22" x14ac:dyDescent="0.45">
      <c r="A155" s="2" t="s">
        <v>3</v>
      </c>
      <c r="B155" s="4">
        <v>9100000</v>
      </c>
      <c r="C155" s="5">
        <v>2012500</v>
      </c>
      <c r="D155" s="5">
        <v>2180000</v>
      </c>
      <c r="E155" s="5">
        <v>2450000</v>
      </c>
      <c r="F155" s="5">
        <v>2366000</v>
      </c>
      <c r="G155" s="7">
        <v>0.32500000000000001</v>
      </c>
      <c r="H155" s="7">
        <v>0.35</v>
      </c>
      <c r="I155" s="7">
        <v>0.35</v>
      </c>
      <c r="J155" s="7">
        <v>0.35</v>
      </c>
      <c r="K155" s="9">
        <v>0.22115384615384615</v>
      </c>
      <c r="L155" s="9">
        <v>0.23956043956043957</v>
      </c>
      <c r="M155" s="9">
        <v>0.26923076923076922</v>
      </c>
      <c r="N155" s="9">
        <v>0.26</v>
      </c>
      <c r="O155" s="11">
        <v>1.1538461538461442E-3</v>
      </c>
      <c r="P155" s="11">
        <v>1.2271062271062283E-3</v>
      </c>
      <c r="Q155" s="11">
        <v>8.9743589743590535E-4</v>
      </c>
      <c r="R155" s="11">
        <v>1.0000000000000009E-3</v>
      </c>
      <c r="S155" s="15">
        <f>VLOOKUP(B155,[1]Sheet1!$C$3:$F$1048576,2,0)</f>
        <v>788</v>
      </c>
      <c r="T155" s="15">
        <f>VLOOKUP(B155,[1]Sheet1!$C$3:$F$1048576,3,0)</f>
        <v>7129664503</v>
      </c>
      <c r="U155" s="15">
        <f>VLOOKUP(B155,[1]Sheet1!$C$3:$F$1048576,4,0)</f>
        <v>1624909270</v>
      </c>
      <c r="V155" s="19">
        <f t="shared" si="2"/>
        <v>9047797.5926395934</v>
      </c>
    </row>
    <row r="156" spans="1:22" x14ac:dyDescent="0.45">
      <c r="A156" s="2" t="s">
        <v>3</v>
      </c>
      <c r="B156" s="4">
        <v>9200000</v>
      </c>
      <c r="C156" s="5">
        <v>2045000</v>
      </c>
      <c r="D156" s="5">
        <v>2215000</v>
      </c>
      <c r="E156" s="5">
        <v>2485000</v>
      </c>
      <c r="F156" s="5">
        <v>2401000</v>
      </c>
      <c r="G156" s="7">
        <v>0.32500000000000001</v>
      </c>
      <c r="H156" s="7">
        <v>0.35</v>
      </c>
      <c r="I156" s="7">
        <v>0.35</v>
      </c>
      <c r="J156" s="7">
        <v>0.35</v>
      </c>
      <c r="K156" s="9">
        <v>0.22228260869565217</v>
      </c>
      <c r="L156" s="9">
        <v>0.24076086956521739</v>
      </c>
      <c r="M156" s="9">
        <v>0.27010869565217394</v>
      </c>
      <c r="N156" s="9">
        <v>0.26097826086956522</v>
      </c>
      <c r="O156" s="11">
        <v>1.1287625418060221E-3</v>
      </c>
      <c r="P156" s="11">
        <v>1.2004300047778194E-3</v>
      </c>
      <c r="Q156" s="11">
        <v>8.7792642140471777E-4</v>
      </c>
      <c r="R156" s="11">
        <v>9.7826086956520619E-4</v>
      </c>
      <c r="S156" s="15">
        <f>VLOOKUP(B156,[1]Sheet1!$C$3:$F$1048576,2,0)</f>
        <v>719</v>
      </c>
      <c r="T156" s="15">
        <f>VLOOKUP(B156,[1]Sheet1!$C$3:$F$1048576,3,0)</f>
        <v>6578070264</v>
      </c>
      <c r="U156" s="15">
        <f>VLOOKUP(B156,[1]Sheet1!$C$3:$F$1048576,4,0)</f>
        <v>1462999609</v>
      </c>
      <c r="V156" s="19">
        <f t="shared" si="2"/>
        <v>9148915.5271210019</v>
      </c>
    </row>
    <row r="157" spans="1:22" x14ac:dyDescent="0.45">
      <c r="A157" s="2" t="s">
        <v>3</v>
      </c>
      <c r="B157" s="4">
        <v>9300000</v>
      </c>
      <c r="C157" s="5">
        <v>2077500</v>
      </c>
      <c r="D157" s="5">
        <v>2250000</v>
      </c>
      <c r="E157" s="5">
        <v>2520000</v>
      </c>
      <c r="F157" s="5">
        <v>2436000</v>
      </c>
      <c r="G157" s="7">
        <v>0.32500000000000001</v>
      </c>
      <c r="H157" s="7">
        <v>0.35</v>
      </c>
      <c r="I157" s="7">
        <v>0.35</v>
      </c>
      <c r="J157" s="7">
        <v>0.35</v>
      </c>
      <c r="K157" s="9">
        <v>0.22338709677419355</v>
      </c>
      <c r="L157" s="9">
        <v>0.24193548387096775</v>
      </c>
      <c r="M157" s="9">
        <v>0.2709677419354839</v>
      </c>
      <c r="N157" s="9">
        <v>0.26193548387096777</v>
      </c>
      <c r="O157" s="11">
        <v>1.1044880785413824E-3</v>
      </c>
      <c r="P157" s="11">
        <v>1.17461430575036E-3</v>
      </c>
      <c r="Q157" s="11">
        <v>8.5904628330996102E-4</v>
      </c>
      <c r="R157" s="11">
        <v>9.5722300140255179E-4</v>
      </c>
      <c r="S157" s="15">
        <f>VLOOKUP(B157,[1]Sheet1!$C$3:$F$1048576,2,0)</f>
        <v>742</v>
      </c>
      <c r="T157" s="15">
        <f>VLOOKUP(B157,[1]Sheet1!$C$3:$F$1048576,3,0)</f>
        <v>6863381849</v>
      </c>
      <c r="U157" s="15">
        <f>VLOOKUP(B157,[1]Sheet1!$C$3:$F$1048576,4,0)</f>
        <v>1524830953</v>
      </c>
      <c r="V157" s="19">
        <f t="shared" si="2"/>
        <v>9249840.7668463606</v>
      </c>
    </row>
    <row r="158" spans="1:22" x14ac:dyDescent="0.45">
      <c r="A158" s="2" t="s">
        <v>3</v>
      </c>
      <c r="B158" s="4">
        <v>9400000</v>
      </c>
      <c r="C158" s="5">
        <v>2110000</v>
      </c>
      <c r="D158" s="5">
        <v>2285000</v>
      </c>
      <c r="E158" s="5">
        <v>2555000</v>
      </c>
      <c r="F158" s="5">
        <v>2471000</v>
      </c>
      <c r="G158" s="7">
        <v>0.32500000000000001</v>
      </c>
      <c r="H158" s="7">
        <v>0.35</v>
      </c>
      <c r="I158" s="7">
        <v>0.35</v>
      </c>
      <c r="J158" s="7">
        <v>0.35</v>
      </c>
      <c r="K158" s="9">
        <v>0.22446808510638297</v>
      </c>
      <c r="L158" s="9">
        <v>0.24308510638297873</v>
      </c>
      <c r="M158" s="9">
        <v>0.27180851063829786</v>
      </c>
      <c r="N158" s="9">
        <v>0.26287234042553193</v>
      </c>
      <c r="O158" s="11">
        <v>1.0809883321894198E-3</v>
      </c>
      <c r="P158" s="11">
        <v>1.1496225120109782E-3</v>
      </c>
      <c r="Q158" s="11">
        <v>8.4076870281396543E-4</v>
      </c>
      <c r="R158" s="11">
        <v>9.3685655456415828E-4</v>
      </c>
      <c r="S158" s="15">
        <f>VLOOKUP(B158,[1]Sheet1!$C$3:$F$1048576,2,0)</f>
        <v>671</v>
      </c>
      <c r="T158" s="15">
        <f>VLOOKUP(B158,[1]Sheet1!$C$3:$F$1048576,3,0)</f>
        <v>6274466709</v>
      </c>
      <c r="U158" s="15">
        <f>VLOOKUP(B158,[1]Sheet1!$C$3:$F$1048576,4,0)</f>
        <v>1393924026</v>
      </c>
      <c r="V158" s="19">
        <f t="shared" si="2"/>
        <v>9350919.0894187782</v>
      </c>
    </row>
    <row r="159" spans="1:22" x14ac:dyDescent="0.45">
      <c r="A159" s="2" t="s">
        <v>3</v>
      </c>
      <c r="B159" s="4">
        <v>9500000</v>
      </c>
      <c r="C159" s="5">
        <v>2142500</v>
      </c>
      <c r="D159" s="5">
        <v>2320000</v>
      </c>
      <c r="E159" s="5">
        <v>2590000</v>
      </c>
      <c r="F159" s="5">
        <v>2506000</v>
      </c>
      <c r="G159" s="7">
        <v>0.32500000000000001</v>
      </c>
      <c r="H159" s="7">
        <v>0.35</v>
      </c>
      <c r="I159" s="7">
        <v>0.35</v>
      </c>
      <c r="J159" s="7">
        <v>0.35</v>
      </c>
      <c r="K159" s="9">
        <v>0.22552631578947369</v>
      </c>
      <c r="L159" s="9">
        <v>0.24421052631578946</v>
      </c>
      <c r="M159" s="9">
        <v>0.27263157894736845</v>
      </c>
      <c r="N159" s="9">
        <v>0.26378947368421052</v>
      </c>
      <c r="O159" s="11">
        <v>1.0582306830907162E-3</v>
      </c>
      <c r="P159" s="11">
        <v>1.1254199328107339E-3</v>
      </c>
      <c r="Q159" s="11">
        <v>8.2306830907058481E-4</v>
      </c>
      <c r="R159" s="11">
        <v>9.1713325867859297E-4</v>
      </c>
      <c r="S159" s="15">
        <f>VLOOKUP(B159,[1]Sheet1!$C$3:$F$1048576,2,0)</f>
        <v>624</v>
      </c>
      <c r="T159" s="15">
        <f>VLOOKUP(B159,[1]Sheet1!$C$3:$F$1048576,3,0)</f>
        <v>5896388841</v>
      </c>
      <c r="U159" s="15">
        <f>VLOOKUP(B159,[1]Sheet1!$C$3:$F$1048576,4,0)</f>
        <v>1348263636</v>
      </c>
      <c r="V159" s="19">
        <f t="shared" si="2"/>
        <v>9449341.091346154</v>
      </c>
    </row>
    <row r="160" spans="1:22" x14ac:dyDescent="0.45">
      <c r="A160" s="2" t="s">
        <v>3</v>
      </c>
      <c r="B160" s="4">
        <v>9600000</v>
      </c>
      <c r="C160" s="5">
        <v>2175000</v>
      </c>
      <c r="D160" s="5">
        <v>2355000</v>
      </c>
      <c r="E160" s="5">
        <v>2625000</v>
      </c>
      <c r="F160" s="5">
        <v>2541000</v>
      </c>
      <c r="G160" s="7">
        <v>0.32500000000000001</v>
      </c>
      <c r="H160" s="7">
        <v>0.35</v>
      </c>
      <c r="I160" s="7">
        <v>0.35</v>
      </c>
      <c r="J160" s="7">
        <v>0.35</v>
      </c>
      <c r="K160" s="9">
        <v>0.2265625</v>
      </c>
      <c r="L160" s="9">
        <v>0.24531249999999999</v>
      </c>
      <c r="M160" s="9">
        <v>0.2734375</v>
      </c>
      <c r="N160" s="9">
        <v>0.26468750000000002</v>
      </c>
      <c r="O160" s="11">
        <v>1.0361842105263142E-3</v>
      </c>
      <c r="P160" s="11">
        <v>1.1019736842105277E-3</v>
      </c>
      <c r="Q160" s="11">
        <v>8.05921052631553E-4</v>
      </c>
      <c r="R160" s="11">
        <v>8.9802631578950187E-4</v>
      </c>
      <c r="S160" s="15">
        <f>VLOOKUP(B160,[1]Sheet1!$C$3:$F$1048576,2,0)</f>
        <v>850</v>
      </c>
      <c r="T160" s="15">
        <f>VLOOKUP(B160,[1]Sheet1!$C$3:$F$1048576,3,0)</f>
        <v>8125901790</v>
      </c>
      <c r="U160" s="15">
        <f>VLOOKUP(B160,[1]Sheet1!$C$3:$F$1048576,4,0)</f>
        <v>1708078517</v>
      </c>
      <c r="V160" s="19">
        <f t="shared" si="2"/>
        <v>9559884.45882353</v>
      </c>
    </row>
    <row r="161" spans="1:22" x14ac:dyDescent="0.45">
      <c r="A161" s="2" t="s">
        <v>3</v>
      </c>
      <c r="B161" s="4">
        <v>9700000</v>
      </c>
      <c r="C161" s="5">
        <v>2207500</v>
      </c>
      <c r="D161" s="5">
        <v>2390000</v>
      </c>
      <c r="E161" s="5">
        <v>2660000</v>
      </c>
      <c r="F161" s="5">
        <v>2576000</v>
      </c>
      <c r="G161" s="7">
        <v>0.32500000000000001</v>
      </c>
      <c r="H161" s="7">
        <v>0.35</v>
      </c>
      <c r="I161" s="7">
        <v>0.35</v>
      </c>
      <c r="J161" s="7">
        <v>0.35</v>
      </c>
      <c r="K161" s="9">
        <v>0.22757731958762886</v>
      </c>
      <c r="L161" s="9">
        <v>0.2463917525773196</v>
      </c>
      <c r="M161" s="9">
        <v>0.27422680412371137</v>
      </c>
      <c r="N161" s="9">
        <v>0.26556701030927837</v>
      </c>
      <c r="O161" s="11">
        <v>1.0148195876288624E-3</v>
      </c>
      <c r="P161" s="11">
        <v>1.0792525773196116E-3</v>
      </c>
      <c r="Q161" s="11">
        <v>7.8930412371136516E-4</v>
      </c>
      <c r="R161" s="11">
        <v>8.7951030927835294E-4</v>
      </c>
      <c r="S161" s="15">
        <f>VLOOKUP(B161,[1]Sheet1!$C$3:$F$1048576,2,0)</f>
        <v>644</v>
      </c>
      <c r="T161" s="15">
        <f>VLOOKUP(B161,[1]Sheet1!$C$3:$F$1048576,3,0)</f>
        <v>6215514042</v>
      </c>
      <c r="U161" s="15">
        <f>VLOOKUP(B161,[1]Sheet1!$C$3:$F$1048576,4,0)</f>
        <v>1372408008</v>
      </c>
      <c r="V161" s="19">
        <f t="shared" si="2"/>
        <v>9651419.3198757768</v>
      </c>
    </row>
    <row r="162" spans="1:22" x14ac:dyDescent="0.45">
      <c r="A162" s="2" t="s">
        <v>3</v>
      </c>
      <c r="B162" s="4">
        <v>9800000</v>
      </c>
      <c r="C162" s="5">
        <v>2240000</v>
      </c>
      <c r="D162" s="5">
        <v>2425000</v>
      </c>
      <c r="E162" s="5">
        <v>2695000</v>
      </c>
      <c r="F162" s="5">
        <v>2611000</v>
      </c>
      <c r="G162" s="7">
        <v>0.32500000000000001</v>
      </c>
      <c r="H162" s="7">
        <v>0.35</v>
      </c>
      <c r="I162" s="7">
        <v>0.35</v>
      </c>
      <c r="J162" s="7">
        <v>0.35</v>
      </c>
      <c r="K162" s="9">
        <v>0.22857142857142856</v>
      </c>
      <c r="L162" s="9">
        <v>0.24744897959183673</v>
      </c>
      <c r="M162" s="9">
        <v>0.27500000000000002</v>
      </c>
      <c r="N162" s="9">
        <v>0.2664285714285714</v>
      </c>
      <c r="O162" s="11">
        <v>9.9410898379970192E-4</v>
      </c>
      <c r="P162" s="11">
        <v>1.0572270145171314E-3</v>
      </c>
      <c r="Q162" s="11">
        <v>7.7319587628865705E-4</v>
      </c>
      <c r="R162" s="11">
        <v>8.6156111929303059E-4</v>
      </c>
      <c r="S162" s="15">
        <f>VLOOKUP(B162,[1]Sheet1!$C$3:$F$1048576,2,0)</f>
        <v>607</v>
      </c>
      <c r="T162" s="15">
        <f>VLOOKUP(B162,[1]Sheet1!$C$3:$F$1048576,3,0)</f>
        <v>5918234546</v>
      </c>
      <c r="U162" s="15">
        <f>VLOOKUP(B162,[1]Sheet1!$C$3:$F$1048576,4,0)</f>
        <v>1344549244</v>
      </c>
      <c r="V162" s="19">
        <f t="shared" si="2"/>
        <v>9749974.5403624382</v>
      </c>
    </row>
    <row r="163" spans="1:22" x14ac:dyDescent="0.45">
      <c r="A163" s="2" t="s">
        <v>3</v>
      </c>
      <c r="B163" s="4">
        <v>9900000</v>
      </c>
      <c r="C163" s="5">
        <v>2272500</v>
      </c>
      <c r="D163" s="5">
        <v>2460000</v>
      </c>
      <c r="E163" s="5">
        <v>2730000</v>
      </c>
      <c r="F163" s="5">
        <v>2646000</v>
      </c>
      <c r="G163" s="7">
        <v>0.32500000000000001</v>
      </c>
      <c r="H163" s="7">
        <v>0.35</v>
      </c>
      <c r="I163" s="7">
        <v>0.35</v>
      </c>
      <c r="J163" s="7">
        <v>0.35</v>
      </c>
      <c r="K163" s="9">
        <v>0.22954545454545455</v>
      </c>
      <c r="L163" s="9">
        <v>0.24848484848484848</v>
      </c>
      <c r="M163" s="9">
        <v>0.27575757575757576</v>
      </c>
      <c r="N163" s="9">
        <v>0.26727272727272727</v>
      </c>
      <c r="O163" s="11">
        <v>9.7402597402598823E-4</v>
      </c>
      <c r="P163" s="11">
        <v>1.0358688930117432E-3</v>
      </c>
      <c r="Q163" s="11">
        <v>7.575757575757347E-4</v>
      </c>
      <c r="R163" s="11">
        <v>8.4415584415586942E-4</v>
      </c>
      <c r="S163" s="15">
        <f>VLOOKUP(B163,[1]Sheet1!$C$3:$F$1048576,2,0)</f>
        <v>637</v>
      </c>
      <c r="T163" s="15">
        <f>VLOOKUP(B163,[1]Sheet1!$C$3:$F$1048576,3,0)</f>
        <v>6275544327</v>
      </c>
      <c r="U163" s="15">
        <f>VLOOKUP(B163,[1]Sheet1!$C$3:$F$1048576,4,0)</f>
        <v>1388650895</v>
      </c>
      <c r="V163" s="19">
        <f t="shared" si="2"/>
        <v>9851717.9387755096</v>
      </c>
    </row>
    <row r="164" spans="1:22" x14ac:dyDescent="0.45">
      <c r="A164" s="2" t="s">
        <v>3</v>
      </c>
      <c r="B164" s="4">
        <v>10000000</v>
      </c>
      <c r="C164" s="5">
        <v>2305000</v>
      </c>
      <c r="D164" s="5">
        <v>2495000</v>
      </c>
      <c r="E164" s="5">
        <v>2765000</v>
      </c>
      <c r="F164" s="5">
        <v>2681000</v>
      </c>
      <c r="G164" s="7">
        <v>0.32500000000000001</v>
      </c>
      <c r="H164" s="7">
        <v>0.35</v>
      </c>
      <c r="I164" s="7">
        <v>0.35</v>
      </c>
      <c r="J164" s="7">
        <v>0.35</v>
      </c>
      <c r="K164" s="9">
        <v>0.23050000000000001</v>
      </c>
      <c r="L164" s="9">
        <v>0.2495</v>
      </c>
      <c r="M164" s="9">
        <v>0.27650000000000002</v>
      </c>
      <c r="N164" s="9">
        <v>0.2681</v>
      </c>
      <c r="O164" s="11">
        <v>9.5454545454545792E-4</v>
      </c>
      <c r="P164" s="11">
        <v>1.0151515151515245E-3</v>
      </c>
      <c r="Q164" s="11">
        <v>7.4242424242426663E-4</v>
      </c>
      <c r="R164" s="11">
        <v>8.2727272727273204E-4</v>
      </c>
      <c r="S164" s="15">
        <f>VLOOKUP(B164,[1]Sheet1!$C$3:$F$1048576,2,0)</f>
        <v>586</v>
      </c>
      <c r="T164" s="15">
        <f>VLOOKUP(B164,[1]Sheet1!$C$3:$F$1048576,3,0)</f>
        <v>5831492252</v>
      </c>
      <c r="U164" s="15">
        <f>VLOOKUP(B164,[1]Sheet1!$C$3:$F$1048576,4,0)</f>
        <v>1341240930</v>
      </c>
      <c r="V164" s="19">
        <f t="shared" si="2"/>
        <v>9951351.9658703078</v>
      </c>
    </row>
    <row r="165" spans="1:22" x14ac:dyDescent="0.45">
      <c r="A165" s="2" t="s">
        <v>3</v>
      </c>
      <c r="B165" s="4">
        <v>10100000</v>
      </c>
      <c r="C165" s="5">
        <v>2337500</v>
      </c>
      <c r="D165" s="5">
        <v>2530000</v>
      </c>
      <c r="E165" s="5">
        <v>2800000</v>
      </c>
      <c r="F165" s="5">
        <v>2716000</v>
      </c>
      <c r="G165" s="7">
        <v>0.32500000000000001</v>
      </c>
      <c r="H165" s="7">
        <v>0.35</v>
      </c>
      <c r="I165" s="7">
        <v>0.35</v>
      </c>
      <c r="J165" s="7">
        <v>0.35</v>
      </c>
      <c r="K165" s="9">
        <v>0.23143564356435645</v>
      </c>
      <c r="L165" s="9">
        <v>0.2504950495049505</v>
      </c>
      <c r="M165" s="9">
        <v>0.27722772277227725</v>
      </c>
      <c r="N165" s="9">
        <v>0.26891089108910893</v>
      </c>
      <c r="O165" s="11">
        <v>9.3564356435643647E-4</v>
      </c>
      <c r="P165" s="11">
        <v>9.9504950495049593E-4</v>
      </c>
      <c r="Q165" s="11">
        <v>7.2772277227722837E-4</v>
      </c>
      <c r="R165" s="11">
        <v>8.1089108910892271E-4</v>
      </c>
      <c r="S165" s="15">
        <f>VLOOKUP(B165,[1]Sheet1!$C$3:$F$1048576,2,0)</f>
        <v>577</v>
      </c>
      <c r="T165" s="15">
        <f>VLOOKUP(B165,[1]Sheet1!$C$3:$F$1048576,3,0)</f>
        <v>5799603344</v>
      </c>
      <c r="U165" s="15">
        <f>VLOOKUP(B165,[1]Sheet1!$C$3:$F$1048576,4,0)</f>
        <v>1304464867</v>
      </c>
      <c r="V165" s="19">
        <f>T165/S165</f>
        <v>10051305.622183708</v>
      </c>
    </row>
    <row r="166" spans="1:22" x14ac:dyDescent="0.45">
      <c r="A166" s="2" t="s">
        <v>3</v>
      </c>
      <c r="B166" s="4">
        <v>10200000</v>
      </c>
      <c r="C166" s="5">
        <v>2370000</v>
      </c>
      <c r="D166" s="5">
        <v>2565000</v>
      </c>
      <c r="E166" s="5">
        <v>2835000</v>
      </c>
      <c r="F166" s="5">
        <v>2751000</v>
      </c>
      <c r="G166" s="7">
        <v>0.32500000000000001</v>
      </c>
      <c r="H166" s="7">
        <v>0.35</v>
      </c>
      <c r="I166" s="7">
        <v>0.35</v>
      </c>
      <c r="J166" s="7">
        <v>0.35</v>
      </c>
      <c r="K166" s="9">
        <v>0.2323529411764706</v>
      </c>
      <c r="L166" s="9">
        <v>0.25147058823529411</v>
      </c>
      <c r="M166" s="9">
        <v>0.27794117647058825</v>
      </c>
      <c r="N166" s="9">
        <v>0.26970588235294118</v>
      </c>
      <c r="O166" s="11">
        <v>9.1729761211414851E-4</v>
      </c>
      <c r="P166" s="11">
        <v>9.7553873034361693E-4</v>
      </c>
      <c r="Q166" s="11">
        <v>7.1345369831099514E-4</v>
      </c>
      <c r="R166" s="11">
        <v>7.9499126383225649E-4</v>
      </c>
      <c r="S166" s="15">
        <f>VLOOKUP(B166,[1]Sheet1!$C$3:$F$1048576,2,0)</f>
        <v>590</v>
      </c>
      <c r="T166" s="15">
        <f>VLOOKUP(B166,[1]Sheet1!$C$3:$F$1048576,3,0)</f>
        <v>5992214704</v>
      </c>
      <c r="U166" s="15">
        <f>VLOOKUP(B166,[1]Sheet1!$C$3:$F$1048576,4,0)</f>
        <v>1348856676</v>
      </c>
      <c r="V166" s="19">
        <f t="shared" si="2"/>
        <v>10156296.108474577</v>
      </c>
    </row>
    <row r="167" spans="1:22" x14ac:dyDescent="0.45">
      <c r="A167" s="2" t="s">
        <v>3</v>
      </c>
      <c r="B167" s="4">
        <v>10300000</v>
      </c>
      <c r="C167" s="5">
        <v>2402500</v>
      </c>
      <c r="D167" s="5">
        <v>2600000</v>
      </c>
      <c r="E167" s="5">
        <v>2870000</v>
      </c>
      <c r="F167" s="5">
        <v>2786000</v>
      </c>
      <c r="G167" s="7">
        <v>0.32500000000000001</v>
      </c>
      <c r="H167" s="7">
        <v>0.35</v>
      </c>
      <c r="I167" s="7">
        <v>0.35</v>
      </c>
      <c r="J167" s="7">
        <v>0.35</v>
      </c>
      <c r="K167" s="9">
        <v>0.23325242718446601</v>
      </c>
      <c r="L167" s="9">
        <v>0.25242718446601942</v>
      </c>
      <c r="M167" s="9">
        <v>0.27864077669902915</v>
      </c>
      <c r="N167" s="9">
        <v>0.27048543689320387</v>
      </c>
      <c r="O167" s="11">
        <v>8.9948600799541478E-4</v>
      </c>
      <c r="P167" s="11">
        <v>9.5659623072530398E-4</v>
      </c>
      <c r="Q167" s="11">
        <v>6.9960022844089975E-4</v>
      </c>
      <c r="R167" s="11">
        <v>7.7955454026268356E-4</v>
      </c>
      <c r="S167" s="15">
        <f>VLOOKUP(B167,[1]Sheet1!$C$3:$F$1048576,2,0)</f>
        <v>522</v>
      </c>
      <c r="T167" s="15">
        <f>VLOOKUP(B167,[1]Sheet1!$C$3:$F$1048576,3,0)</f>
        <v>5350915453</v>
      </c>
      <c r="U167" s="15">
        <f>VLOOKUP(B167,[1]Sheet1!$C$3:$F$1048576,4,0)</f>
        <v>1174312955</v>
      </c>
      <c r="V167" s="19">
        <f t="shared" si="2"/>
        <v>10250795.88697318</v>
      </c>
    </row>
    <row r="168" spans="1:22" x14ac:dyDescent="0.45">
      <c r="A168" s="2" t="s">
        <v>3</v>
      </c>
      <c r="B168" s="4">
        <v>10400000</v>
      </c>
      <c r="C168" s="5">
        <v>2435000</v>
      </c>
      <c r="D168" s="5">
        <v>2635000</v>
      </c>
      <c r="E168" s="5">
        <v>2905000</v>
      </c>
      <c r="F168" s="5">
        <v>2821000</v>
      </c>
      <c r="G168" s="7">
        <v>0.32500000000000001</v>
      </c>
      <c r="H168" s="7">
        <v>0.35</v>
      </c>
      <c r="I168" s="7">
        <v>0.35</v>
      </c>
      <c r="J168" s="7">
        <v>0.35</v>
      </c>
      <c r="K168" s="9">
        <v>0.23413461538461539</v>
      </c>
      <c r="L168" s="9">
        <v>0.2533653846153846</v>
      </c>
      <c r="M168" s="9">
        <v>0.27932692307692308</v>
      </c>
      <c r="N168" s="9">
        <v>0.27124999999999999</v>
      </c>
      <c r="O168" s="11">
        <v>8.8218820014937527E-4</v>
      </c>
      <c r="P168" s="11">
        <v>9.3820014936518703E-4</v>
      </c>
      <c r="Q168" s="11">
        <v>6.8614637789393695E-4</v>
      </c>
      <c r="R168" s="11">
        <v>7.6456310679612338E-4</v>
      </c>
      <c r="S168" s="15">
        <f>VLOOKUP(B168,[1]Sheet1!$C$3:$F$1048576,2,0)</f>
        <v>528</v>
      </c>
      <c r="T168" s="15">
        <f>VLOOKUP(B168,[1]Sheet1!$C$3:$F$1048576,3,0)</f>
        <v>5464978061</v>
      </c>
      <c r="U168" s="15">
        <f>VLOOKUP(B168,[1]Sheet1!$C$3:$F$1048576,4,0)</f>
        <v>1255624474</v>
      </c>
      <c r="V168" s="19">
        <f t="shared" si="2"/>
        <v>10350337.236742424</v>
      </c>
    </row>
    <row r="169" spans="1:22" x14ac:dyDescent="0.45">
      <c r="A169" s="2" t="s">
        <v>3</v>
      </c>
      <c r="B169" s="4">
        <v>10500000</v>
      </c>
      <c r="C169" s="5">
        <v>2467500</v>
      </c>
      <c r="D169" s="5">
        <v>2670000</v>
      </c>
      <c r="E169" s="5">
        <v>2940000</v>
      </c>
      <c r="F169" s="5">
        <v>2856000</v>
      </c>
      <c r="G169" s="7">
        <v>0.32500000000000001</v>
      </c>
      <c r="H169" s="7">
        <v>0.35</v>
      </c>
      <c r="I169" s="7">
        <v>0.35</v>
      </c>
      <c r="J169" s="7">
        <v>0.35</v>
      </c>
      <c r="K169" s="9">
        <v>0.23499999999999999</v>
      </c>
      <c r="L169" s="9">
        <v>0.25428571428571428</v>
      </c>
      <c r="M169" s="9">
        <v>0.28000000000000003</v>
      </c>
      <c r="N169" s="9">
        <v>0.27200000000000002</v>
      </c>
      <c r="O169" s="11">
        <v>8.6538461538460121E-4</v>
      </c>
      <c r="P169" s="11">
        <v>9.2032967032967816E-4</v>
      </c>
      <c r="Q169" s="11">
        <v>6.7307692307694289E-4</v>
      </c>
      <c r="R169" s="11">
        <v>7.5000000000002842E-4</v>
      </c>
      <c r="S169" s="15">
        <f>VLOOKUP(B169,[1]Sheet1!$C$3:$F$1048576,2,0)</f>
        <v>531</v>
      </c>
      <c r="T169" s="15">
        <f>VLOOKUP(B169,[1]Sheet1!$C$3:$F$1048576,3,0)</f>
        <v>5549828285</v>
      </c>
      <c r="U169" s="15">
        <f>VLOOKUP(B169,[1]Sheet1!$C$3:$F$1048576,4,0)</f>
        <v>1274714305</v>
      </c>
      <c r="V169" s="19">
        <f t="shared" si="2"/>
        <v>10451654.020715632</v>
      </c>
    </row>
    <row r="170" spans="1:22" x14ac:dyDescent="0.45">
      <c r="A170" s="2" t="s">
        <v>3</v>
      </c>
      <c r="B170" s="4">
        <v>10600000</v>
      </c>
      <c r="C170" s="5">
        <v>2500000</v>
      </c>
      <c r="D170" s="5">
        <v>2705000</v>
      </c>
      <c r="E170" s="5">
        <v>2975000</v>
      </c>
      <c r="F170" s="5">
        <v>2891000</v>
      </c>
      <c r="G170" s="7">
        <v>0.32500000000000001</v>
      </c>
      <c r="H170" s="7">
        <v>0.35</v>
      </c>
      <c r="I170" s="7">
        <v>0.35</v>
      </c>
      <c r="J170" s="7">
        <v>0.35</v>
      </c>
      <c r="K170" s="9">
        <v>0.23584905660377359</v>
      </c>
      <c r="L170" s="9">
        <v>0.25518867924528305</v>
      </c>
      <c r="M170" s="9">
        <v>0.28066037735849059</v>
      </c>
      <c r="N170" s="9">
        <v>0.27273584905660375</v>
      </c>
      <c r="O170" s="11">
        <v>8.4905660377360137E-4</v>
      </c>
      <c r="P170" s="11">
        <v>9.0296495956876388E-4</v>
      </c>
      <c r="Q170" s="11">
        <v>6.6037735849056034E-4</v>
      </c>
      <c r="R170" s="11">
        <v>7.3584905660373234E-4</v>
      </c>
      <c r="S170" s="15"/>
      <c r="T170" s="15"/>
      <c r="U170" s="15"/>
    </row>
    <row r="171" spans="1:22" x14ac:dyDescent="0.45">
      <c r="A171" s="2" t="s">
        <v>3</v>
      </c>
      <c r="B171" s="4">
        <v>10700000</v>
      </c>
      <c r="C171" s="5">
        <v>2532500</v>
      </c>
      <c r="D171" s="5">
        <v>2740000</v>
      </c>
      <c r="E171" s="5">
        <v>3010000</v>
      </c>
      <c r="F171" s="5">
        <v>2926000</v>
      </c>
      <c r="G171" s="7">
        <v>0.32500000000000001</v>
      </c>
      <c r="H171" s="7">
        <v>0.35</v>
      </c>
      <c r="I171" s="7">
        <v>0.35</v>
      </c>
      <c r="J171" s="7">
        <v>0.35</v>
      </c>
      <c r="K171" s="9">
        <v>0.23668224299065421</v>
      </c>
      <c r="L171" s="9">
        <v>0.2560747663551402</v>
      </c>
      <c r="M171" s="9">
        <v>0.28130841121495326</v>
      </c>
      <c r="N171" s="9">
        <v>0.27345794392523365</v>
      </c>
      <c r="O171" s="11">
        <v>8.3318638688062441E-4</v>
      </c>
      <c r="P171" s="11">
        <v>8.8608710985715877E-4</v>
      </c>
      <c r="Q171" s="11">
        <v>6.4803385646267087E-4</v>
      </c>
      <c r="R171" s="11">
        <v>7.2209486862989669E-4</v>
      </c>
      <c r="S171" s="15"/>
      <c r="T171" s="15"/>
      <c r="U171" s="15"/>
    </row>
    <row r="172" spans="1:22" x14ac:dyDescent="0.45">
      <c r="A172" s="2" t="s">
        <v>3</v>
      </c>
      <c r="B172" s="4">
        <v>10800000</v>
      </c>
      <c r="C172" s="5">
        <v>2565000</v>
      </c>
      <c r="D172" s="5">
        <v>2775000</v>
      </c>
      <c r="E172" s="5">
        <v>3045000</v>
      </c>
      <c r="F172" s="5">
        <v>2961000</v>
      </c>
      <c r="G172" s="7">
        <v>0.32500000000000001</v>
      </c>
      <c r="H172" s="7">
        <v>0.35</v>
      </c>
      <c r="I172" s="7">
        <v>0.35</v>
      </c>
      <c r="J172" s="7">
        <v>0.35</v>
      </c>
      <c r="K172" s="9">
        <v>0.23749999999999999</v>
      </c>
      <c r="L172" s="9">
        <v>0.25694444444444442</v>
      </c>
      <c r="M172" s="9">
        <v>0.28194444444444444</v>
      </c>
      <c r="N172" s="9">
        <v>0.27416666666666667</v>
      </c>
      <c r="O172" s="11">
        <v>8.1775700934577644E-4</v>
      </c>
      <c r="P172" s="11">
        <v>8.6967808930421553E-4</v>
      </c>
      <c r="Q172" s="11">
        <v>6.3603322949118413E-4</v>
      </c>
      <c r="R172" s="11">
        <v>7.0872274143302105E-4</v>
      </c>
      <c r="S172" s="15"/>
      <c r="T172" s="15"/>
      <c r="U172" s="15"/>
    </row>
    <row r="173" spans="1:22" x14ac:dyDescent="0.45">
      <c r="A173" s="2" t="s">
        <v>3</v>
      </c>
      <c r="B173" s="4">
        <v>10900000</v>
      </c>
      <c r="C173" s="5">
        <v>2597500</v>
      </c>
      <c r="D173" s="5">
        <v>2810000</v>
      </c>
      <c r="E173" s="5">
        <v>3080000</v>
      </c>
      <c r="F173" s="5">
        <v>2996000</v>
      </c>
      <c r="G173" s="7">
        <v>0.32500000000000001</v>
      </c>
      <c r="H173" s="7">
        <v>0.35</v>
      </c>
      <c r="I173" s="7">
        <v>0.35</v>
      </c>
      <c r="J173" s="7">
        <v>0.35</v>
      </c>
      <c r="K173" s="9">
        <v>0.23830275229357797</v>
      </c>
      <c r="L173" s="9">
        <v>0.25779816513761467</v>
      </c>
      <c r="M173" s="9">
        <v>0.28256880733944956</v>
      </c>
      <c r="N173" s="9">
        <v>0.27486238532110091</v>
      </c>
      <c r="O173" s="11">
        <v>8.0275229357798517E-4</v>
      </c>
      <c r="P173" s="11">
        <v>8.5372069317024568E-4</v>
      </c>
      <c r="Q173" s="11">
        <v>6.2436289500511499E-4</v>
      </c>
      <c r="R173" s="11">
        <v>6.9571865443424086E-4</v>
      </c>
      <c r="S173" s="15"/>
      <c r="T173" s="15"/>
      <c r="U173" s="15"/>
    </row>
    <row r="174" spans="1:22" x14ac:dyDescent="0.45">
      <c r="A174" s="2" t="s">
        <v>3</v>
      </c>
      <c r="B174" s="4">
        <v>11000000</v>
      </c>
      <c r="C174" s="5">
        <v>2630000</v>
      </c>
      <c r="D174" s="5">
        <v>2845000</v>
      </c>
      <c r="E174" s="5">
        <v>3115000</v>
      </c>
      <c r="F174" s="5">
        <v>3031000</v>
      </c>
      <c r="G174" s="7">
        <v>0.32500000000000001</v>
      </c>
      <c r="H174" s="7">
        <v>0.35</v>
      </c>
      <c r="I174" s="7">
        <v>0.35</v>
      </c>
      <c r="J174" s="7">
        <v>0.35</v>
      </c>
      <c r="K174" s="9">
        <v>0.2390909090909091</v>
      </c>
      <c r="L174" s="9">
        <v>0.25863636363636361</v>
      </c>
      <c r="M174" s="9">
        <v>0.2831818181818182</v>
      </c>
      <c r="N174" s="9">
        <v>0.27554545454545454</v>
      </c>
      <c r="O174" s="11">
        <v>7.8815679733112987E-4</v>
      </c>
      <c r="P174" s="11">
        <v>8.3819849874894325E-4</v>
      </c>
      <c r="Q174" s="11">
        <v>6.1301084236864423E-4</v>
      </c>
      <c r="R174" s="11">
        <v>6.8306922435362738E-4</v>
      </c>
      <c r="S174" s="15"/>
      <c r="T174" s="15"/>
      <c r="U174" s="15"/>
    </row>
    <row r="175" spans="1:22" x14ac:dyDescent="0.45">
      <c r="A175" s="2" t="s">
        <v>3</v>
      </c>
      <c r="B175" s="4">
        <v>11100000</v>
      </c>
      <c r="C175" s="5">
        <v>2662500</v>
      </c>
      <c r="D175" s="5">
        <v>2880000</v>
      </c>
      <c r="E175" s="5">
        <v>3150000</v>
      </c>
      <c r="F175" s="5">
        <v>3066000</v>
      </c>
      <c r="G175" s="7">
        <v>0.32500000000000001</v>
      </c>
      <c r="H175" s="7">
        <v>0.35</v>
      </c>
      <c r="I175" s="7">
        <v>0.35</v>
      </c>
      <c r="J175" s="7">
        <v>0.35</v>
      </c>
      <c r="K175" s="9">
        <v>0.23986486486486486</v>
      </c>
      <c r="L175" s="9">
        <v>0.25945945945945947</v>
      </c>
      <c r="M175" s="9">
        <v>0.28378378378378377</v>
      </c>
      <c r="N175" s="9">
        <v>0.27621621621621623</v>
      </c>
      <c r="O175" s="11">
        <v>7.7395577395575343E-4</v>
      </c>
      <c r="P175" s="11">
        <v>8.2309582309586515E-4</v>
      </c>
      <c r="Q175" s="11">
        <v>6.0196560196557058E-4</v>
      </c>
      <c r="R175" s="11">
        <v>6.7076167076168813E-4</v>
      </c>
      <c r="S175" s="15"/>
      <c r="T175" s="15"/>
      <c r="U175" s="15"/>
    </row>
    <row r="176" spans="1:22" x14ac:dyDescent="0.45">
      <c r="A176" s="2" t="s">
        <v>3</v>
      </c>
      <c r="B176" s="4">
        <v>11200000</v>
      </c>
      <c r="C176" s="5">
        <v>2695000</v>
      </c>
      <c r="D176" s="5">
        <v>2915000</v>
      </c>
      <c r="E176" s="5">
        <v>3185000</v>
      </c>
      <c r="F176" s="5">
        <v>3101000</v>
      </c>
      <c r="G176" s="7">
        <v>0.32500000000000001</v>
      </c>
      <c r="H176" s="7">
        <v>0.35</v>
      </c>
      <c r="I176" s="7">
        <v>0.35</v>
      </c>
      <c r="J176" s="7">
        <v>0.35</v>
      </c>
      <c r="K176" s="9">
        <v>0.24062500000000001</v>
      </c>
      <c r="L176" s="9">
        <v>0.26026785714285716</v>
      </c>
      <c r="M176" s="9">
        <v>0.28437499999999999</v>
      </c>
      <c r="N176" s="9">
        <v>0.27687499999999998</v>
      </c>
      <c r="O176" s="11">
        <v>7.6013513513514819E-4</v>
      </c>
      <c r="P176" s="11">
        <v>8.0839768339768803E-4</v>
      </c>
      <c r="Q176" s="11">
        <v>5.9121621621621712E-4</v>
      </c>
      <c r="R176" s="11">
        <v>6.5878378378375624E-4</v>
      </c>
      <c r="S176" s="15"/>
      <c r="T176" s="15"/>
      <c r="U176" s="15"/>
    </row>
    <row r="177" spans="1:21" x14ac:dyDescent="0.45">
      <c r="A177" s="2" t="s">
        <v>3</v>
      </c>
      <c r="B177" s="4">
        <v>11300000</v>
      </c>
      <c r="C177" s="5">
        <v>2727500</v>
      </c>
      <c r="D177" s="5">
        <v>2950000</v>
      </c>
      <c r="E177" s="5">
        <v>3220000</v>
      </c>
      <c r="F177" s="5">
        <v>3136000</v>
      </c>
      <c r="G177" s="7">
        <v>0.32500000000000001</v>
      </c>
      <c r="H177" s="7">
        <v>0.35</v>
      </c>
      <c r="I177" s="7">
        <v>0.35</v>
      </c>
      <c r="J177" s="7">
        <v>0.35</v>
      </c>
      <c r="K177" s="9">
        <v>0.24137168141592921</v>
      </c>
      <c r="L177" s="9">
        <v>0.26106194690265488</v>
      </c>
      <c r="M177" s="9">
        <v>0.28495575221238939</v>
      </c>
      <c r="N177" s="9">
        <v>0.27752212389380532</v>
      </c>
      <c r="O177" s="11">
        <v>7.4668141592920678E-4</v>
      </c>
      <c r="P177" s="11">
        <v>7.9408975979772256E-4</v>
      </c>
      <c r="Q177" s="11">
        <v>5.8075221238940156E-4</v>
      </c>
      <c r="R177" s="11">
        <v>6.4712389380533475E-4</v>
      </c>
      <c r="S177" s="15"/>
      <c r="T177" s="15"/>
      <c r="U177" s="15"/>
    </row>
    <row r="178" spans="1:21" x14ac:dyDescent="0.45">
      <c r="A178" s="2" t="s">
        <v>3</v>
      </c>
      <c r="B178" s="4">
        <v>11400000</v>
      </c>
      <c r="C178" s="5">
        <v>2760000</v>
      </c>
      <c r="D178" s="5">
        <v>2985000</v>
      </c>
      <c r="E178" s="5">
        <v>3255000</v>
      </c>
      <c r="F178" s="5">
        <v>3171000</v>
      </c>
      <c r="G178" s="7">
        <v>0.32500000000000001</v>
      </c>
      <c r="H178" s="7">
        <v>0.35</v>
      </c>
      <c r="I178" s="7">
        <v>0.35</v>
      </c>
      <c r="J178" s="7">
        <v>0.35</v>
      </c>
      <c r="K178" s="9">
        <v>0.24210526315789474</v>
      </c>
      <c r="L178" s="9">
        <v>0.26184210526315788</v>
      </c>
      <c r="M178" s="9">
        <v>0.28552631578947368</v>
      </c>
      <c r="N178" s="9">
        <v>0.2781578947368421</v>
      </c>
      <c r="O178" s="11">
        <v>7.3358174196552772E-4</v>
      </c>
      <c r="P178" s="11">
        <v>7.8015836050299159E-4</v>
      </c>
      <c r="Q178" s="11">
        <v>5.7056357708429317E-4</v>
      </c>
      <c r="R178" s="11">
        <v>6.3577084303678699E-4</v>
      </c>
      <c r="S178" s="15"/>
      <c r="T178" s="15"/>
      <c r="U178" s="15"/>
    </row>
    <row r="179" spans="1:21" x14ac:dyDescent="0.45">
      <c r="A179" s="2" t="s">
        <v>3</v>
      </c>
      <c r="B179" s="4">
        <v>11500000</v>
      </c>
      <c r="C179" s="5">
        <v>2792500</v>
      </c>
      <c r="D179" s="5">
        <v>3020000</v>
      </c>
      <c r="E179" s="5">
        <v>3290000</v>
      </c>
      <c r="F179" s="5">
        <v>3206000</v>
      </c>
      <c r="G179" s="7">
        <v>0.32500000000000001</v>
      </c>
      <c r="H179" s="7">
        <v>0.35</v>
      </c>
      <c r="I179" s="7">
        <v>0.35</v>
      </c>
      <c r="J179" s="7">
        <v>0.35</v>
      </c>
      <c r="K179" s="9">
        <v>0.24282608695652175</v>
      </c>
      <c r="L179" s="9">
        <v>0.26260869565217393</v>
      </c>
      <c r="M179" s="9">
        <v>0.28608695652173916</v>
      </c>
      <c r="N179" s="9">
        <v>0.27878260869565219</v>
      </c>
      <c r="O179" s="11">
        <v>7.2082379862700718E-4</v>
      </c>
      <c r="P179" s="11">
        <v>7.6659038901605303E-4</v>
      </c>
      <c r="Q179" s="11">
        <v>5.6064073226547162E-4</v>
      </c>
      <c r="R179" s="11">
        <v>6.2471395881008585E-4</v>
      </c>
      <c r="S179" s="15"/>
      <c r="T179" s="15"/>
      <c r="U179" s="15"/>
    </row>
    <row r="180" spans="1:21" x14ac:dyDescent="0.45">
      <c r="A180" s="2" t="s">
        <v>3</v>
      </c>
      <c r="B180" s="4">
        <v>11600000</v>
      </c>
      <c r="C180" s="5">
        <v>2825000</v>
      </c>
      <c r="D180" s="5">
        <v>3055000</v>
      </c>
      <c r="E180" s="5">
        <v>3325000</v>
      </c>
      <c r="F180" s="5">
        <v>3241000</v>
      </c>
      <c r="G180" s="7">
        <v>0.32500000000000001</v>
      </c>
      <c r="H180" s="7">
        <v>0.35</v>
      </c>
      <c r="I180" s="7">
        <v>0.35</v>
      </c>
      <c r="J180" s="7">
        <v>0.35</v>
      </c>
      <c r="K180" s="9">
        <v>0.24353448275862069</v>
      </c>
      <c r="L180" s="9">
        <v>0.26336206896551723</v>
      </c>
      <c r="M180" s="9">
        <v>0.28663793103448276</v>
      </c>
      <c r="N180" s="9">
        <v>0.27939655172413791</v>
      </c>
      <c r="O180" s="11">
        <v>7.0839580209894337E-4</v>
      </c>
      <c r="P180" s="11">
        <v>7.5337331334329738E-4</v>
      </c>
      <c r="Q180" s="11">
        <v>5.509745127436072E-4</v>
      </c>
      <c r="R180" s="11">
        <v>6.1394302848571947E-4</v>
      </c>
      <c r="S180" s="15"/>
      <c r="T180" s="15"/>
      <c r="U180" s="15"/>
    </row>
    <row r="181" spans="1:21" x14ac:dyDescent="0.45">
      <c r="A181" s="2" t="s">
        <v>3</v>
      </c>
      <c r="B181" s="4">
        <v>11700000</v>
      </c>
      <c r="C181" s="5">
        <v>2857500</v>
      </c>
      <c r="D181" s="5">
        <v>3090000</v>
      </c>
      <c r="E181" s="5">
        <v>3360000</v>
      </c>
      <c r="F181" s="5">
        <v>3276000</v>
      </c>
      <c r="G181" s="7">
        <v>0.32500000000000001</v>
      </c>
      <c r="H181" s="7">
        <v>0.35</v>
      </c>
      <c r="I181" s="7">
        <v>0.35</v>
      </c>
      <c r="J181" s="7">
        <v>0.35</v>
      </c>
      <c r="K181" s="9">
        <v>0.24423076923076922</v>
      </c>
      <c r="L181" s="9">
        <v>0.26410256410256411</v>
      </c>
      <c r="M181" s="9">
        <v>0.28717948717948716</v>
      </c>
      <c r="N181" s="9">
        <v>0.28000000000000003</v>
      </c>
      <c r="O181" s="11">
        <v>6.962864721485329E-4</v>
      </c>
      <c r="P181" s="11">
        <v>7.4049513704688152E-4</v>
      </c>
      <c r="Q181" s="11">
        <v>5.4155614500439597E-4</v>
      </c>
      <c r="R181" s="11">
        <v>6.0344827586211736E-4</v>
      </c>
      <c r="S181" s="15"/>
      <c r="T181" s="15"/>
      <c r="U181" s="15"/>
    </row>
    <row r="182" spans="1:21" x14ac:dyDescent="0.45">
      <c r="A182" s="2" t="s">
        <v>3</v>
      </c>
      <c r="B182" s="4">
        <v>11800000</v>
      </c>
      <c r="C182" s="5">
        <v>2890000</v>
      </c>
      <c r="D182" s="5">
        <v>3125000</v>
      </c>
      <c r="E182" s="5">
        <v>3395000</v>
      </c>
      <c r="F182" s="5">
        <v>3311000</v>
      </c>
      <c r="G182" s="7">
        <v>0.32500000000000001</v>
      </c>
      <c r="H182" s="7">
        <v>0.35</v>
      </c>
      <c r="I182" s="7">
        <v>0.35</v>
      </c>
      <c r="J182" s="7">
        <v>0.35</v>
      </c>
      <c r="K182" s="9">
        <v>0.24491525423728813</v>
      </c>
      <c r="L182" s="9">
        <v>0.26483050847457629</v>
      </c>
      <c r="M182" s="9">
        <v>0.28771186440677965</v>
      </c>
      <c r="N182" s="9">
        <v>0.28059322033898304</v>
      </c>
      <c r="O182" s="11">
        <v>6.8448500651890898E-4</v>
      </c>
      <c r="P182" s="11">
        <v>7.2794437201217921E-4</v>
      </c>
      <c r="Q182" s="11">
        <v>5.3237722729249093E-4</v>
      </c>
      <c r="R182" s="11">
        <v>5.9322033898301374E-4</v>
      </c>
      <c r="S182" s="15"/>
      <c r="T182" s="15"/>
      <c r="U182" s="15"/>
    </row>
    <row r="183" spans="1:21" x14ac:dyDescent="0.45">
      <c r="A183" s="2" t="s">
        <v>3</v>
      </c>
      <c r="B183" s="4">
        <v>11900000</v>
      </c>
      <c r="C183" s="5">
        <v>2922500</v>
      </c>
      <c r="D183" s="5">
        <v>3160000</v>
      </c>
      <c r="E183" s="5">
        <v>3430000</v>
      </c>
      <c r="F183" s="5">
        <v>3346000</v>
      </c>
      <c r="G183" s="7">
        <v>0.32500000000000001</v>
      </c>
      <c r="H183" s="7">
        <v>0.35</v>
      </c>
      <c r="I183" s="7">
        <v>0.35</v>
      </c>
      <c r="J183" s="7">
        <v>0.35</v>
      </c>
      <c r="K183" s="9">
        <v>0.24558823529411763</v>
      </c>
      <c r="L183" s="9">
        <v>0.26554621848739496</v>
      </c>
      <c r="M183" s="9">
        <v>0.28823529411764703</v>
      </c>
      <c r="N183" s="9">
        <v>0.28117647058823531</v>
      </c>
      <c r="O183" s="11">
        <v>6.7298105682950249E-4</v>
      </c>
      <c r="P183" s="11">
        <v>7.1571001281867108E-4</v>
      </c>
      <c r="Q183" s="11">
        <v>5.2342971086738466E-4</v>
      </c>
      <c r="R183" s="11">
        <v>5.832502492522651E-4</v>
      </c>
      <c r="S183" s="15"/>
      <c r="T183" s="15"/>
      <c r="U183" s="15"/>
    </row>
    <row r="184" spans="1:21" x14ac:dyDescent="0.45">
      <c r="A184" s="2" t="s">
        <v>3</v>
      </c>
      <c r="B184" s="4">
        <v>12000000</v>
      </c>
      <c r="C184" s="5">
        <v>2955000</v>
      </c>
      <c r="D184" s="5">
        <v>3195000</v>
      </c>
      <c r="E184" s="5">
        <v>3465000</v>
      </c>
      <c r="F184" s="5">
        <v>3381000</v>
      </c>
      <c r="G184" s="7">
        <v>0.32500000000000001</v>
      </c>
      <c r="H184" s="7">
        <v>0.35</v>
      </c>
      <c r="I184" s="7">
        <v>0.35</v>
      </c>
      <c r="J184" s="7">
        <v>0.35</v>
      </c>
      <c r="K184" s="9">
        <v>0.24625</v>
      </c>
      <c r="L184" s="9">
        <v>0.26624999999999999</v>
      </c>
      <c r="M184" s="9">
        <v>0.28875000000000001</v>
      </c>
      <c r="N184" s="9">
        <v>0.28175</v>
      </c>
      <c r="O184" s="11">
        <v>6.6176470588236169E-4</v>
      </c>
      <c r="P184" s="11">
        <v>7.0378151260502841E-4</v>
      </c>
      <c r="Q184" s="11">
        <v>5.1470588235297265E-4</v>
      </c>
      <c r="R184" s="11">
        <v>5.7352941176469496E-4</v>
      </c>
      <c r="S184" s="15"/>
      <c r="T184" s="15"/>
      <c r="U184" s="15"/>
    </row>
    <row r="185" spans="1:21" x14ac:dyDescent="0.45">
      <c r="A185" s="2" t="s">
        <v>3</v>
      </c>
      <c r="B185" s="4">
        <v>12100000</v>
      </c>
      <c r="C185" s="5">
        <v>2990000</v>
      </c>
      <c r="D185" s="5">
        <v>3230000</v>
      </c>
      <c r="E185" s="5">
        <v>3500000</v>
      </c>
      <c r="F185" s="5">
        <v>3416000</v>
      </c>
      <c r="G185" s="7">
        <v>0.35</v>
      </c>
      <c r="H185" s="7">
        <v>0.35</v>
      </c>
      <c r="I185" s="7">
        <v>0.35</v>
      </c>
      <c r="J185" s="7">
        <v>0.35</v>
      </c>
      <c r="K185" s="9">
        <v>0.24710743801652893</v>
      </c>
      <c r="L185" s="9">
        <v>0.26694214876033057</v>
      </c>
      <c r="M185" s="9">
        <v>0.28925619834710742</v>
      </c>
      <c r="N185" s="9">
        <v>0.28231404958677686</v>
      </c>
      <c r="O185" s="11">
        <v>8.5743801652893303E-4</v>
      </c>
      <c r="P185" s="11">
        <v>6.9214876033057982E-4</v>
      </c>
      <c r="Q185" s="11">
        <v>5.0619834710741163E-4</v>
      </c>
      <c r="R185" s="11">
        <v>5.6404958677686023E-4</v>
      </c>
      <c r="S185" s="15"/>
      <c r="T185" s="15"/>
      <c r="U18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Ameenah Qureshi</dc:creator>
  <cp:lastModifiedBy>Ameenah Qureshi</cp:lastModifiedBy>
  <dcterms:created xsi:type="dcterms:W3CDTF">2026-02-22T19:52:15Z</dcterms:created>
  <dcterms:modified xsi:type="dcterms:W3CDTF">2026-02-22T21:22:03Z</dcterms:modified>
</cp:coreProperties>
</file>